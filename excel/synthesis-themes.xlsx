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ana-mbp/Documents/DEV/Typst/Quarto/excel/"/>
    </mc:Choice>
  </mc:AlternateContent>
  <xr:revisionPtr revIDLastSave="0" documentId="8_{5F185F65-22C6-B048-A127-8F6B675BDBC4}" xr6:coauthVersionLast="47" xr6:coauthVersionMax="47" xr10:uidLastSave="{00000000-0000-0000-0000-000000000000}"/>
  <bookViews>
    <workbookView xWindow="1500" yWindow="1400" windowWidth="27640" windowHeight="16680" xr2:uid="{0761CEFA-E241-9549-848B-C48B4534427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8" i="1" l="1"/>
  <c r="G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<sst xmlns="http://schemas.openxmlformats.org/spreadsheetml/2006/main" count="88" uniqueCount="82">
  <si>
    <t>Cross-Study Theme</t>
  </si>
  <si>
    <t>Convergent Evidence</t>
  </si>
  <si>
    <t>Key Studies</t>
  </si>
  <si>
    <t>Qualification / Tension</t>
  </si>
  <si>
    <t>Geographic Strength</t>
  </si>
  <si>
    <t>Chronological Role</t>
  </si>
  <si>
    <t>Language Status</t>
  </si>
  <si>
    <t>Main Evidence Gap</t>
  </si>
  <si>
    <t>Theme Decision</t>
  </si>
  <si>
    <t>Studies Cited</t>
  </si>
  <si>
    <t>Assigned Focus</t>
  </si>
  <si>
    <t>Stage 5 Evidence Boundary</t>
  </si>
  <si>
    <t>Yamnaya formation and launch</t>
  </si>
  <si>
    <t>Recent studies converge on a multi-stage process: Caucasus–Lower Volga ancestry mixed with North Pontic/Dnipro-related ancestry before a rapid Yamna expansion near 3300 BCE.</t>
  </si>
  <si>
    <t>Lazaridis et al. (2025); Nikitin et al. (2025); Chintalapati et al. (2022); Mathieson et al. (2018)</t>
  </si>
  <si>
    <t>The exact core formation zone, unsampled source populations and routes toward Anatolia remain unresolved and model-dependent.</t>
  </si>
  <si>
    <t>Strongest in the North Pontic, Volga and Russian Steppe datasets, but sampling is uneven.</t>
  </si>
  <si>
    <t>Earlier formation (~4500–4000 BCE) plus direct target-period launch (~3300 BCE)</t>
  </si>
  <si>
    <t>Explicit in Lazaridis and Chintalapati; indirect in Nikitin. Language remains an interdisciplinary interpretation.</t>
  </si>
  <si>
    <t>More direct lower-Volga, Don/Dnipro and Anatolian-route samples are needed.</t>
  </si>
  <si>
    <t>RETAIN — recurring</t>
  </si>
  <si>
    <t>Migration foundation + language inference</t>
  </si>
  <si>
    <t>Uses ancestry formation and chronology only where they explain later movement; it does not create a separate origins section or treat genetic ancestry as language.</t>
  </si>
  <si>
    <t>Westward expansion into Europe</t>
  </si>
  <si>
    <t>Ancestry proportions, population turnover and IBD all support rapid movement of Yamnaya-related people into central and northern Europe around 3000 BCE.</t>
  </si>
  <si>
    <t>Haak et al. (2015); Allentoft et al. (2015); Ringbauer et al. (2024); Papac et al. (2021)</t>
  </si>
  <si>
    <t>Known Yamnaya samples are not necessarily the sole direct source; Corded Ware populations rapidly incorporated local ancestry and were not socially homogeneous.</t>
  </si>
  <si>
    <t>Strong for Germany, Bohemia and several Corded Ware groups; less even farther south and west.</t>
  </si>
  <si>
    <t>Directly within 3300–2600 BCE, with immediate later transformations</t>
  </si>
  <si>
    <t>Explicit in Haak and Allentoft; indirect in Ringbauer and Papac.</t>
  </si>
  <si>
    <t>Precise migration corridors, source substructure and the balance of mass migration versus repeated smaller movements remain uncertain.</t>
  </si>
  <si>
    <t>Migration pattern</t>
  </si>
  <si>
    <t>Treats population-genetic change as evidence of westward movement, while allowing for local admixture and source uncertainty.</t>
  </si>
  <si>
    <t>Sex-biased movement and local mobility</t>
  </si>
  <si>
    <t>Multiple studies support male-biased Steppe ancestry alongside incorporation of local women; isotope and kinship evidence shows that migration operated through local communities.</t>
  </si>
  <si>
    <t>Scorrano et al. (2021); Linderholm et al. (2020); Papac et al. (2021)</t>
  </si>
  <si>
    <t>The strength of sex bias varies by region and archaeological group; X-chromosome estimates have large uncertainty and low SNP counts.</t>
  </si>
  <si>
    <t>Best resolved in central Europe and southeastern Poland.</t>
  </si>
  <si>
    <t>Mostly ~2900–2400 BCE; spans the target period and immediate aftermath</t>
  </si>
  <si>
    <t>Indirect demographic mechanism only; no study identifies the language spoken by migrants or local spouses.</t>
  </si>
  <si>
    <t>Larger balanced cemetery samples and stronger isotope baselines are needed outside central Europe.</t>
  </si>
  <si>
    <t>Migration mechanism</t>
  </si>
  <si>
    <t>Explains how movement operated through sex bias, kinship and local incorporation; it does not assume one mechanism across all regions.</t>
  </si>
  <si>
    <t>Eastward expansion into Inner Asia</t>
  </si>
  <si>
    <t>Afanasievo's close relationship to Yamnaya and the appearance of this ancestry in the Altai, western Mongolia and Xinjiang support an eastward dispersal after ~3000 BCE.</t>
  </si>
  <si>
    <t>Wang et al. (2021); Allentoft et al. (2015); Chintalapati et al. (2022)</t>
  </si>
  <si>
    <t>Steppe ancestry later declined in parts of Mongolia, and an Afanasievo archaeological association did not always correspond to Yamnaya ancestry.</t>
  </si>
  <si>
    <t>Good broad signal across the Altai and western Mongolia, but sparse fine-scale sampling and route intermediates.</t>
  </si>
  <si>
    <t>Target-period movement followed by later Bronze/Iron Age persistence and turnover</t>
  </si>
  <si>
    <t>Explicit proto-Tocharian interpretation in Wang; broader Indo-European compatibility in Allentoft and Chintalapati.</t>
  </si>
  <si>
    <t>Intermediate-route samples and tighter chronology are needed to connect demographic movement to specific Tocharian branches.</t>
  </si>
  <si>
    <t>Migration pattern + language inference</t>
  </si>
  <si>
    <t>Uses eastward demographic evidence as compatible with language-dispersal hypotheses; it does not identify a spoken language from DNA.</t>
  </si>
  <si>
    <t>Culture, continuity and regionally variable replacement</t>
  </si>
  <si>
    <t>GAC continuity and geographically variable Beaker ancestry show that similar material culture can spread without equivalent population movement, while other regions experienced major replacement.</t>
  </si>
  <si>
    <t>Tassi et al. (2017); Olalde et al. (2018); Papac et al. (2021)</t>
  </si>
  <si>
    <t>The strongest Beaker replacement evidence is later than the core Yamnaya interval and should not be projected backward.</t>
  </si>
  <si>
    <t>Strong case studies in northwestern Poland, central Europe and Britain; not a universal Eurasian pattern.</t>
  </si>
  <si>
    <t>Pre-target continuity plus late-target and post-target consequences</t>
  </si>
  <si>
    <t>Tassi explicitly evaluates language-dispersal models; Olalde and Papac contribute indirect demographic constraints.</t>
  </si>
  <si>
    <t>More matched archaeological–genetic regional transects are needed to separate cultural transmission, elite dominance and population replacement.</t>
  </si>
  <si>
    <t>Migration qualifier</t>
  </si>
  <si>
    <t>Tests whether material-culture change corresponds to demographic movement; culture is included only as a migration qualifier.</t>
  </si>
  <si>
    <t>Caucasus and northern Eurasian context</t>
  </si>
  <si>
    <t>Long-term Steppe–Caucasus and Siberia–northeastern Europe gene flow complicates a single-origin, single-wave narrative and supplies context for Yamnaya ancestry formation.</t>
  </si>
  <si>
    <t>Dzhaubermezov et al. (2026); Wong et al. (2017); Lazaridis et al. (2025); Nikitin et al. (2025)</t>
  </si>
  <si>
    <t>Two contributions are secondary or modern-population-led, and their broad chronology does not isolate direct Yamnaya movement.</t>
  </si>
  <si>
    <t>Uneven: growing Steppe data, sparse early North Caucasus/lower-Volga coverage and indirect northern Eurasian sampling.</t>
  </si>
  <si>
    <t>Mainly earlier ancestry context, with Bronze Age corridor evidence</t>
  </si>
  <si>
    <t>Mostly background; explicit language reconstruction comes primarily from Lazaridis rather than the contextual studies.</t>
  </si>
  <si>
    <t>Independent ancient samples from the North Caucasus, lower Volga and northern Eurasian corridors remain limited.</t>
  </si>
  <si>
    <t>Migration context</t>
  </si>
  <si>
    <t>Retains earlier and broader gene flow only as context needed to interpret target-period Yamnaya movement across Eurasia.</t>
  </si>
  <si>
    <t>Migration and Indo-European language dispersal</t>
  </si>
  <si>
    <t>The corpus repeatedly treats rapid Steppe-related population spread as a plausible demographic mechanism compatible with Indo-European dispersal.</t>
  </si>
  <si>
    <t>Lazaridis et al. (2025); Haak et al. (2015); Allentoft et al. (2015); Wang et al. (2021); Chintalapati et al. (2022); Tassi et al. (2017)</t>
  </si>
  <si>
    <t>Ancient DNA cannot reveal speech; migration need not cause complete language replacement, and language can spread without equivalent genetic turnover.</t>
  </si>
  <si>
    <t>Demographic evidence is strongest in the Steppe and central Europe; linguistic linkage is weakest where independent linguistic evidence is absent.</t>
  </si>
  <si>
    <t>Mixed: earlier language-root hypotheses, target-period dispersal and later branch consequences</t>
  </si>
  <si>
    <t>The collection contains no direct linguistic dataset; branching, borrowing, multilingualism and transmission mechanisms require independent linguistic evidence.</t>
  </si>
  <si>
    <t>Language synthesis</t>
  </si>
  <si>
    <t>Separates direct genetic/demographic findings from authorial or interdisciplinary linguistic interpretation in every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</si>
</sst>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color rgb="FFFFFFFF"/>
      <name val="Helvetica"/>
      <family val="2"/>
    </font>
    <font>
      <sz val="14"/>
      <name val="Carlito"/>
    </font>
    <font>
      <b/>
      <sz val="14"/>
      <color rgb="FF17365D"/>
      <name val="Helvetica"/>
      <family val="2"/>
    </font>
    <font>
      <sz val="14"/>
      <name val="Helvetica"/>
      <family val="2"/>
    </font>
    <font>
      <b/>
      <sz val="14"/>
      <color rgb="FF375623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3F0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0" borderId="0" xfId="0" applyFont="1"/>
    <xf numFmtId="0" fontId="3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1" fontId="3" fillId="2" borderId="0" xfId="0" applyNumberFormat="1" applyFont="1" applyFill="1" applyAlignment="1">
      <alignment horizontal="center"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odex/2026-09-02/yamnaya-lit-review-do-not-research/outputs/zotero-audit/zotero-collection-audit.xlsx" TargetMode="External"/><Relationship Id="rId2" Type="http://schemas.openxmlformats.org/officeDocument/2006/relationships/externalLinkPath" Target="/Users/lochana-mbp/Documents/Codex/2026-09-02/yamnaya-lit-review-do-not-research/outputs/zotero-audit/zotero-collection-audit.xlsx" TargetMode="External"/><Relationship Id="rId1" Type="http://schemas.openxmlformats.org/officeDocument/2006/relationships/externalLinkPath" Target="/Users/lochana-mbp/Documents/Codex/2026-09-02/yamnaya-lit-review-do-not-research/outputs/zotero-audit/zotero-collection-au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nventory"/>
      <sheetName val="Flag Register"/>
      <sheetName val="Provenance"/>
      <sheetName val="Screening Decisions"/>
      <sheetName val="PRISMA Status"/>
      <sheetName val="Evidence Extraction"/>
      <sheetName val="Synthesis Table"/>
      <sheetName val="Synthesis Themes"/>
      <sheetName val="Agreements &amp; Gaps"/>
      <sheetName val="Argument 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L2" t="str">
            <v>EXPLICIT</v>
          </cell>
        </row>
        <row r="3">
          <cell r="L3" t="str">
            <v>INDIRECT</v>
          </cell>
        </row>
        <row r="4">
          <cell r="L4" t="str">
            <v>EXPLICIT</v>
          </cell>
        </row>
        <row r="5">
          <cell r="L5" t="str">
            <v>INDIRECT</v>
          </cell>
        </row>
        <row r="6">
          <cell r="L6" t="str">
            <v>EXPLICIT</v>
          </cell>
        </row>
        <row r="7">
          <cell r="L7" t="str">
            <v>EXPLICIT</v>
          </cell>
        </row>
        <row r="8">
          <cell r="L8" t="str">
            <v>INDIRECT</v>
          </cell>
        </row>
        <row r="9">
          <cell r="L9" t="str">
            <v>INDIRECT</v>
          </cell>
        </row>
        <row r="10">
          <cell r="L10" t="str">
            <v>INDIRECT</v>
          </cell>
        </row>
        <row r="11">
          <cell r="L11" t="str">
            <v>INDIRECT</v>
          </cell>
        </row>
        <row r="12">
          <cell r="L12" t="str">
            <v>INDIRECT</v>
          </cell>
        </row>
        <row r="13">
          <cell r="L13" t="str">
            <v>EXPLICIT</v>
          </cell>
        </row>
        <row r="14">
          <cell r="L14" t="str">
            <v>EXPLICIT</v>
          </cell>
        </row>
        <row r="15">
          <cell r="L15" t="str">
            <v>BACKGROUND</v>
          </cell>
        </row>
        <row r="16">
          <cell r="L16" t="str">
            <v>BACKGROUND</v>
          </cell>
        </row>
      </sheetData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DE248-29CE-5D44-91B6-398DDEEBFF01}" name="CrossStudyThemes" displayName="CrossStudyThemes" ref="A1:H8" totalsRowShown="0" headerRowDxfId="9" dataDxfId="8">
  <tableColumns count="8">
    <tableColumn id="1" xr3:uid="{9D5D0A8F-81CA-E242-8FBD-15AA81207B31}" name="Cross-Study Theme" dataDxfId="7"/>
    <tableColumn id="2" xr3:uid="{E6DB0812-2A3A-AA44-A671-F557089DE469}" name="Convergent Evidence" dataDxfId="6"/>
    <tableColumn id="3" xr3:uid="{D40E1D76-5ECA-0643-ACB3-A295BE713BE1}" name="Key Studies" dataDxfId="5"/>
    <tableColumn id="4" xr3:uid="{7A9A23BE-DD16-6D49-A56E-A5B3B1504E31}" name="Qualification / Tension" dataDxfId="4"/>
    <tableColumn id="5" xr3:uid="{DD2167EB-47A9-E04A-BEAD-7FDD8AA1FFFA}" name="Geographic Strength" dataDxfId="3"/>
    <tableColumn id="6" xr3:uid="{AB297AA9-5C65-2746-B07B-CFCDADC7E4C2}" name="Chronological Role" dataDxfId="2"/>
    <tableColumn id="7" xr3:uid="{C4884B3D-A876-E24C-B4C2-C632EFFB790E}" name="Language Status" dataDxfId="1"/>
    <tableColumn id="8" xr3:uid="{54365383-4543-344E-A56D-D6CD74574233}" name="Main Evidence G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FA79-D69F-D240-A645-C7ABAB5DA407}">
  <dimension ref="A1:L8"/>
  <sheetViews>
    <sheetView tabSelected="1" topLeftCell="G1" workbookViewId="0">
      <selection activeCell="H3" sqref="H3"/>
    </sheetView>
  </sheetViews>
  <sheetFormatPr baseColWidth="10" defaultColWidth="8.83203125" defaultRowHeight="18"/>
  <cols>
    <col min="1" max="1" width="34" style="2" customWidth="1"/>
    <col min="2" max="2" width="66" style="2" customWidth="1"/>
    <col min="3" max="3" width="55" style="2" customWidth="1"/>
    <col min="4" max="4" width="62" style="2" customWidth="1"/>
    <col min="5" max="5" width="50" style="2" customWidth="1"/>
    <col min="6" max="6" width="45" style="2" customWidth="1"/>
    <col min="7" max="8" width="60" style="2" customWidth="1"/>
    <col min="9" max="9" width="24" style="2" customWidth="1"/>
    <col min="10" max="10" width="14" style="2" customWidth="1"/>
    <col min="11" max="11" width="38" style="2" customWidth="1"/>
    <col min="12" max="12" width="66" style="2" customWidth="1"/>
    <col min="13" max="16384" width="8.83203125" style="2"/>
  </cols>
  <sheetData>
    <row r="1" spans="1:12" ht="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6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4" t="s">
        <v>19</v>
      </c>
      <c r="I2" s="6" t="s">
        <v>20</v>
      </c>
      <c r="J2" s="7">
        <f t="shared" ref="J2:J8" si="0">IF(C2="",0,LEN(C2)-LEN(SUBSTITUTE(C2,";",""))+1)</f>
        <v>4</v>
      </c>
      <c r="K2" s="8" t="s">
        <v>21</v>
      </c>
      <c r="L2" s="9" t="s">
        <v>22</v>
      </c>
    </row>
    <row r="3" spans="1:12" ht="76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5" t="s">
        <v>29</v>
      </c>
      <c r="H3" s="4" t="s">
        <v>30</v>
      </c>
      <c r="I3" s="6" t="s">
        <v>20</v>
      </c>
      <c r="J3" s="7">
        <f t="shared" si="0"/>
        <v>4</v>
      </c>
      <c r="K3" s="8" t="s">
        <v>31</v>
      </c>
      <c r="L3" s="9" t="s">
        <v>32</v>
      </c>
    </row>
    <row r="4" spans="1:12" ht="76">
      <c r="A4" s="3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5" t="s">
        <v>39</v>
      </c>
      <c r="H4" s="4" t="s">
        <v>40</v>
      </c>
      <c r="I4" s="6" t="s">
        <v>20</v>
      </c>
      <c r="J4" s="7">
        <f t="shared" si="0"/>
        <v>3</v>
      </c>
      <c r="K4" s="8" t="s">
        <v>41</v>
      </c>
      <c r="L4" s="9" t="s">
        <v>42</v>
      </c>
    </row>
    <row r="5" spans="1:12" ht="76">
      <c r="A5" s="3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5" t="s">
        <v>49</v>
      </c>
      <c r="H5" s="4" t="s">
        <v>50</v>
      </c>
      <c r="I5" s="6" t="s">
        <v>20</v>
      </c>
      <c r="J5" s="7">
        <f t="shared" si="0"/>
        <v>3</v>
      </c>
      <c r="K5" s="8" t="s">
        <v>51</v>
      </c>
      <c r="L5" s="9" t="s">
        <v>52</v>
      </c>
    </row>
    <row r="6" spans="1:12" ht="76">
      <c r="A6" s="3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5" t="s">
        <v>59</v>
      </c>
      <c r="H6" s="4" t="s">
        <v>60</v>
      </c>
      <c r="I6" s="6" t="s">
        <v>20</v>
      </c>
      <c r="J6" s="7">
        <f t="shared" si="0"/>
        <v>3</v>
      </c>
      <c r="K6" s="8" t="s">
        <v>61</v>
      </c>
      <c r="L6" s="9" t="s">
        <v>62</v>
      </c>
    </row>
    <row r="7" spans="1:12" ht="76">
      <c r="A7" s="3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5" t="s">
        <v>69</v>
      </c>
      <c r="H7" s="4" t="s">
        <v>70</v>
      </c>
      <c r="I7" s="6" t="s">
        <v>20</v>
      </c>
      <c r="J7" s="7">
        <f t="shared" si="0"/>
        <v>4</v>
      </c>
      <c r="K7" s="8" t="s">
        <v>71</v>
      </c>
      <c r="L7" s="9" t="s">
        <v>72</v>
      </c>
    </row>
    <row r="8" spans="1:12" ht="76">
      <c r="A8" s="3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5" t="str">
        <f>"EXPLICIT: "&amp;COUNTIF('[1]Synthesis Table'!$L$2:$L$16,"EXPLICIT")&amp;"; INDIRECT: "&amp;COUNTIF('[1]Synthesis Table'!$L$2:$L$16,"INDIRECT")&amp;"; BACKGROUND: "&amp;COUNTIF('[1]Synthesis Table'!$L$2:$L$16,"BACKGROUND")&amp;". All are interpretations, not language observed in DNA."</f>
        <v>EXPLICIT: 6; INDIRECT: 7; BACKGROUND: 2. All are interpretations, not language observed in DNA.</v>
      </c>
      <c r="H8" s="4" t="s">
        <v>79</v>
      </c>
      <c r="I8" s="6" t="s">
        <v>20</v>
      </c>
      <c r="J8" s="7">
        <f t="shared" si="0"/>
        <v>6</v>
      </c>
      <c r="K8" s="8" t="s">
        <v>80</v>
      </c>
      <c r="L8" s="9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Lochana Perera (25620301)</dc:creator>
  <cp:lastModifiedBy>Lochana Perera (25620301)</cp:lastModifiedBy>
  <dcterms:created xsi:type="dcterms:W3CDTF">2026-09-03T07:49:10Z</dcterms:created>
  <dcterms:modified xsi:type="dcterms:W3CDTF">2026-09-03T07:49:50Z</dcterms:modified>
</cp:coreProperties>
</file>