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ochana-mbp/Documents/DEV/Typst/Quarto/excel/"/>
    </mc:Choice>
  </mc:AlternateContent>
  <xr:revisionPtr revIDLastSave="0" documentId="8_{57B1D528-C372-F047-B8F4-606946C6E0B4}" xr6:coauthVersionLast="47" xr6:coauthVersionMax="47" xr10:uidLastSave="{00000000-0000-0000-0000-000000000000}"/>
  <bookViews>
    <workbookView xWindow="1500" yWindow="1400" windowWidth="27640" windowHeight="16680" xr2:uid="{69C53C91-95E9-2644-8A6F-02E743238650}"/>
  </bookViews>
  <sheets>
    <sheet name="Sheet1" sheetId="1" r:id="rId1"/>
  </sheets>
  <externalReferences>
    <externalReference r:id="rId2"/>
  </externalReferenc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R16" i="1" l="1"/>
  <c r="Q16" i="1"/>
  <c r="P16" i="1"/>
  <c r="O16" i="1"/>
  <c r="N16" i="1"/>
  <c r="M16" i="1"/>
  <c r="L16" i="1"/>
  <c r="K16" i="1"/>
  <c r="J16" i="1"/>
  <c r="I16" i="1"/>
  <c r="G16" i="1"/>
  <c r="F16" i="1"/>
  <c r="E16" i="1"/>
  <c r="D16" i="1"/>
  <c r="A16" i="1"/>
  <c r="R15" i="1"/>
  <c r="Q15" i="1"/>
  <c r="P15" i="1"/>
  <c r="O15" i="1"/>
  <c r="N15" i="1"/>
  <c r="M15" i="1"/>
  <c r="L15" i="1"/>
  <c r="K15" i="1"/>
  <c r="J15" i="1"/>
  <c r="I15" i="1"/>
  <c r="G15" i="1"/>
  <c r="F15" i="1"/>
  <c r="E15" i="1"/>
  <c r="D15" i="1"/>
  <c r="A15" i="1"/>
  <c r="R14" i="1"/>
  <c r="Q14" i="1"/>
  <c r="P14" i="1"/>
  <c r="O14" i="1"/>
  <c r="N14" i="1"/>
  <c r="M14" i="1"/>
  <c r="L14" i="1"/>
  <c r="K14" i="1"/>
  <c r="J14" i="1"/>
  <c r="I14" i="1"/>
  <c r="G14" i="1"/>
  <c r="F14" i="1"/>
  <c r="E14" i="1"/>
  <c r="D14" i="1"/>
  <c r="A14" i="1"/>
  <c r="R13" i="1"/>
  <c r="Q13" i="1"/>
  <c r="P13" i="1"/>
  <c r="O13" i="1"/>
  <c r="N13" i="1"/>
  <c r="M13" i="1"/>
  <c r="L13" i="1"/>
  <c r="K13" i="1"/>
  <c r="J13" i="1"/>
  <c r="I13" i="1"/>
  <c r="G13" i="1"/>
  <c r="F13" i="1"/>
  <c r="E13" i="1"/>
  <c r="D13" i="1"/>
  <c r="A13" i="1"/>
  <c r="R12" i="1"/>
  <c r="Q12" i="1"/>
  <c r="P12" i="1"/>
  <c r="O12" i="1"/>
  <c r="N12" i="1"/>
  <c r="M12" i="1"/>
  <c r="L12" i="1"/>
  <c r="K12" i="1"/>
  <c r="J12" i="1"/>
  <c r="I12" i="1"/>
  <c r="G12" i="1"/>
  <c r="F12" i="1"/>
  <c r="E12" i="1"/>
  <c r="D12" i="1"/>
  <c r="A12" i="1"/>
  <c r="R11" i="1"/>
  <c r="Q11" i="1"/>
  <c r="P11" i="1"/>
  <c r="O11" i="1"/>
  <c r="N11" i="1"/>
  <c r="M11" i="1"/>
  <c r="L11" i="1"/>
  <c r="K11" i="1"/>
  <c r="J11" i="1"/>
  <c r="I11" i="1"/>
  <c r="G11" i="1"/>
  <c r="F11" i="1"/>
  <c r="E11" i="1"/>
  <c r="D11" i="1"/>
  <c r="A11" i="1"/>
  <c r="R10" i="1"/>
  <c r="Q10" i="1"/>
  <c r="P10" i="1"/>
  <c r="O10" i="1"/>
  <c r="N10" i="1"/>
  <c r="M10" i="1"/>
  <c r="L10" i="1"/>
  <c r="K10" i="1"/>
  <c r="J10" i="1"/>
  <c r="I10" i="1"/>
  <c r="G10" i="1"/>
  <c r="F10" i="1"/>
  <c r="E10" i="1"/>
  <c r="D10" i="1"/>
  <c r="A10" i="1"/>
  <c r="R9" i="1"/>
  <c r="Q9" i="1"/>
  <c r="P9" i="1"/>
  <c r="O9" i="1"/>
  <c r="N9" i="1"/>
  <c r="M9" i="1"/>
  <c r="L9" i="1"/>
  <c r="K9" i="1"/>
  <c r="J9" i="1"/>
  <c r="I9" i="1"/>
  <c r="G9" i="1"/>
  <c r="F9" i="1"/>
  <c r="E9" i="1"/>
  <c r="D9" i="1"/>
  <c r="A9" i="1"/>
  <c r="R8" i="1"/>
  <c r="Q8" i="1"/>
  <c r="P8" i="1"/>
  <c r="O8" i="1"/>
  <c r="N8" i="1"/>
  <c r="M8" i="1"/>
  <c r="L8" i="1"/>
  <c r="K8" i="1"/>
  <c r="J8" i="1"/>
  <c r="I8" i="1"/>
  <c r="G8" i="1"/>
  <c r="F8" i="1"/>
  <c r="E8" i="1"/>
  <c r="D8" i="1"/>
  <c r="A8" i="1"/>
  <c r="R7" i="1"/>
  <c r="Q7" i="1"/>
  <c r="P7" i="1"/>
  <c r="O7" i="1"/>
  <c r="N7" i="1"/>
  <c r="M7" i="1"/>
  <c r="L7" i="1"/>
  <c r="K7" i="1"/>
  <c r="J7" i="1"/>
  <c r="I7" i="1"/>
  <c r="G7" i="1"/>
  <c r="F7" i="1"/>
  <c r="E7" i="1"/>
  <c r="D7" i="1"/>
  <c r="A7" i="1"/>
  <c r="R6" i="1"/>
  <c r="Q6" i="1"/>
  <c r="P6" i="1"/>
  <c r="O6" i="1"/>
  <c r="N6" i="1"/>
  <c r="M6" i="1"/>
  <c r="L6" i="1"/>
  <c r="K6" i="1"/>
  <c r="J6" i="1"/>
  <c r="I6" i="1"/>
  <c r="G6" i="1"/>
  <c r="F6" i="1"/>
  <c r="E6" i="1"/>
  <c r="D6" i="1"/>
  <c r="A6" i="1"/>
  <c r="R5" i="1"/>
  <c r="Q5" i="1"/>
  <c r="P5" i="1"/>
  <c r="O5" i="1"/>
  <c r="N5" i="1"/>
  <c r="M5" i="1"/>
  <c r="L5" i="1"/>
  <c r="K5" i="1"/>
  <c r="J5" i="1"/>
  <c r="I5" i="1"/>
  <c r="G5" i="1"/>
  <c r="F5" i="1"/>
  <c r="E5" i="1"/>
  <c r="D5" i="1"/>
  <c r="A5" i="1"/>
  <c r="R4" i="1"/>
  <c r="Q4" i="1"/>
  <c r="P4" i="1"/>
  <c r="O4" i="1"/>
  <c r="N4" i="1"/>
  <c r="M4" i="1"/>
  <c r="L4" i="1"/>
  <c r="K4" i="1"/>
  <c r="J4" i="1"/>
  <c r="I4" i="1"/>
  <c r="G4" i="1"/>
  <c r="F4" i="1"/>
  <c r="E4" i="1"/>
  <c r="D4" i="1"/>
  <c r="A4" i="1"/>
  <c r="R3" i="1"/>
  <c r="Q3" i="1"/>
  <c r="P3" i="1"/>
  <c r="O3" i="1"/>
  <c r="N3" i="1"/>
  <c r="M3" i="1"/>
  <c r="L3" i="1"/>
  <c r="K3" i="1"/>
  <c r="J3" i="1"/>
  <c r="I3" i="1"/>
  <c r="G3" i="1"/>
  <c r="F3" i="1"/>
  <c r="E3" i="1"/>
  <c r="D3" i="1"/>
  <c r="A3" i="1"/>
  <c r="R2" i="1"/>
  <c r="Q2" i="1"/>
  <c r="P2" i="1"/>
  <c r="O2" i="1"/>
  <c r="N2" i="1"/>
  <c r="M2" i="1"/>
  <c r="L2" i="1"/>
  <c r="K2" i="1"/>
  <c r="J2" i="1"/>
  <c r="I2" i="1"/>
  <c r="G2" i="1"/>
  <c r="F2" i="1"/>
  <c r="E2" i="1"/>
  <c r="D2" i="1"/>
  <c r="A2" i="1"/>
</calcChain>
</file>

<file path=xl/sharedStrings.xml><?xml version="1.0" encoding="utf-8"?>
<sst xmlns="http://schemas.openxmlformats.org/spreadsheetml/2006/main" count="63" uniqueCount="53">
  <si>
    <t>Study</t>
  </si>
  <si>
    <t>Analytical Theme</t>
  </si>
  <si>
    <t>Analytical Role</t>
  </si>
  <si>
    <t>Region</t>
  </si>
  <si>
    <t>Date / Samples</t>
  </si>
  <si>
    <t>Methods</t>
  </si>
  <si>
    <t>Genetic / Demographic Result</t>
  </si>
  <si>
    <t>Migration Evidence</t>
  </si>
  <si>
    <t>Route / Pattern</t>
  </si>
  <si>
    <t>Connected Populations</t>
  </si>
  <si>
    <t>Migration Chronology</t>
  </si>
  <si>
    <t>Language Relevance</t>
  </si>
  <si>
    <t>Language Interpretation</t>
  </si>
  <si>
    <t>Main Interpretation</t>
  </si>
  <si>
    <t>Limitations</t>
  </si>
  <si>
    <t>Contribution to Review</t>
  </si>
  <si>
    <t>Zotero Item Key</t>
  </si>
  <si>
    <t>Evidence Pointer</t>
  </si>
  <si>
    <t>Yamnaya formation and launch</t>
  </si>
  <si>
    <t>CORE</t>
  </si>
  <si>
    <t>CLV ancestry moved west and mixed with Dnipro/Don-related ancestry to form the dominant ancestry of Yamnaya; expansion follows at about 3300 BCE.</t>
  </si>
  <si>
    <t>Three successive migration/admixture waves connect CLV migrants, Usatove, Serednii Stih and the eventual Yamna expansion.</t>
  </si>
  <si>
    <t>Migration chronology</t>
  </si>
  <si>
    <t>CHRONOLOGICAL FRAMEWORK</t>
  </si>
  <si>
    <t>Cross-regional admixture dates place Steppe-ancestry formation before the archaeological Yamnaya horizon and dispersal around/after 3000 BCE.</t>
  </si>
  <si>
    <t>Pre-expansion contact</t>
  </si>
  <si>
    <t>CHRONOLOGICAL CONTEXT</t>
  </si>
  <si>
    <t>Southeastern Europe shows repeated Steppe contact long before the later large-scale third-millennium movements.</t>
  </si>
  <si>
    <t>Westward expansion</t>
  </si>
  <si>
    <t>A major Yamnaya-related ancestry influx accounts for roughly three-quarters of German Corded Ware ancestry and indicates rapid migration into central Europe.</t>
  </si>
  <si>
    <t>Bidirectional expansion</t>
  </si>
  <si>
    <t>Yamnaya-related ancestry connects Corded Ware westward and Afanasievo eastward, establishing a Eurasia-wide expansion pattern.</t>
  </si>
  <si>
    <t>Long IBD segments provide recent genealogical links between Yamnaya and diverse Corded Ware groups within only a few hundred years.</t>
  </si>
  <si>
    <t>Regional transformation</t>
  </si>
  <si>
    <t>REGIONAL QUALIFIER</t>
  </si>
  <si>
    <t>Bohemia records Steppe-ancestry arrival followed by female assimilation and repeated Y-chromosome and population turnover rather than one uniform replacement.</t>
  </si>
  <si>
    <t>Local mobility and admixture</t>
  </si>
  <si>
    <t>Southeastern Polish Corded Ware communities combine Steppe-associated paternal ancestry, local maternal ancestry and local/non-local kinship.</t>
  </si>
  <si>
    <t>Sex-biased migration</t>
  </si>
  <si>
    <t>Autosomal, X-chromosomal and uniparental comparisons indicate stronger male bias in Corded Ware than Bell Beaker groups, with substantial regional variation.</t>
  </si>
  <si>
    <t>Later western consequences</t>
  </si>
  <si>
    <t>LATER CONSEQUENCE</t>
  </si>
  <si>
    <t>Bell Beaker spread was cultural between some regions but demographic into Britain, where Steppe-related newcomers replaced about 90% of the gene pool.</t>
  </si>
  <si>
    <t>Culture versus migration</t>
  </si>
  <si>
    <t>QUALIFYING / NEGATIVE CASE</t>
  </si>
  <si>
    <t>Globular Amphorae individuals lack the expected Yamnaya-derived profile, so eastern archaeological affinity need not represent movement of Steppe people.</t>
  </si>
  <si>
    <t>Eastward expansion</t>
  </si>
  <si>
    <t>Afanasievo-related ancestry closely related to Yamnaya reached the Altai, western Mongolia and Xinjiang after about 3000 BCE.</t>
  </si>
  <si>
    <t>Caucasus corridor</t>
  </si>
  <si>
    <t>SECONDARY CONTEXT</t>
  </si>
  <si>
    <t>Pooled Caucasus data support Bronze Age Steppe gene flow and long-term admixture/continuity but provide secondary, overlapping evidence rather than a unique route.</t>
  </si>
  <si>
    <t>Northern Eurasian context</t>
  </si>
  <si>
    <t>Western Siberian–northeastern European gene flow predates and overlaps the Yamnaya horizon, adding context rather than a direct Yamnaya migration transect.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</si>
</sst>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4"/>
      <color rgb="FFFFFFFF"/>
      <name val="Helvetica"/>
      <family val="2"/>
    </font>
    <font>
      <sz val="14"/>
      <name val="Helvetica"/>
      <family val="2"/>
    </font>
  </fonts>
  <fills count="3">
    <fill>
      <patternFill patternType="none"/>
    </fill>
    <fill>
      <patternFill patternType="gray125"/>
    </fill>
    <fill>
      <patternFill patternType="solid">
        <fgColor rgb="FF2F75B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vertical="center" wrapText="1"/>
    </xf>
    <xf numFmtId="0" fontId="2" fillId="0" borderId="0" xfId="0" applyFont="1" applyAlignment="1">
      <alignment vertical="top"/>
    </xf>
    <xf numFmtId="0" fontId="2" fillId="0" borderId="0" xfId="0" applyFont="1" applyAlignment="1">
      <alignment vertical="top" wrapText="1"/>
    </xf>
  </cellXfs>
  <cellStyles count="1">
    <cellStyle name="Normal" xfId="0" builtinId="0"/>
  </cellStyles>
  <dxfs count="34">
    <dxf>
      <font>
        <strike val="0"/>
        <outline val="0"/>
        <shadow val="0"/>
        <u val="none"/>
        <vertAlign val="baseline"/>
        <sz val="14"/>
        <name val="Helvetica"/>
        <scheme val="none"/>
      </font>
    </dxf>
    <dxf>
      <font>
        <strike val="0"/>
        <outline val="0"/>
        <shadow val="0"/>
        <u val="none"/>
        <vertAlign val="baseline"/>
        <sz val="14"/>
        <name val="Helvetica"/>
        <scheme val="none"/>
      </font>
    </dxf>
    <dxf>
      <font>
        <strike val="0"/>
        <outline val="0"/>
        <shadow val="0"/>
        <u val="none"/>
        <vertAlign val="baseline"/>
        <sz val="14"/>
        <name val="Helvetica"/>
        <scheme val="none"/>
      </font>
    </dxf>
    <dxf>
      <font>
        <strike val="0"/>
        <outline val="0"/>
        <shadow val="0"/>
        <u val="none"/>
        <vertAlign val="baseline"/>
        <sz val="14"/>
        <name val="Helvetica"/>
        <scheme val="none"/>
      </font>
    </dxf>
    <dxf>
      <font>
        <strike val="0"/>
        <outline val="0"/>
        <shadow val="0"/>
        <u val="none"/>
        <vertAlign val="baseline"/>
        <sz val="14"/>
        <name val="Helvetica"/>
        <scheme val="none"/>
      </font>
    </dxf>
    <dxf>
      <font>
        <strike val="0"/>
        <outline val="0"/>
        <shadow val="0"/>
        <u val="none"/>
        <vertAlign val="baseline"/>
        <sz val="14"/>
        <name val="Helvetica"/>
        <scheme val="none"/>
      </font>
    </dxf>
    <dxf>
      <font>
        <strike val="0"/>
        <outline val="0"/>
        <shadow val="0"/>
        <u val="none"/>
        <vertAlign val="baseline"/>
        <sz val="14"/>
        <name val="Helvetica"/>
        <scheme val="none"/>
      </font>
    </dxf>
    <dxf>
      <font>
        <strike val="0"/>
        <outline val="0"/>
        <shadow val="0"/>
        <u val="none"/>
        <vertAlign val="baseline"/>
        <sz val="14"/>
        <name val="Helvetica"/>
        <scheme val="none"/>
      </font>
    </dxf>
    <dxf>
      <font>
        <strike val="0"/>
        <outline val="0"/>
        <shadow val="0"/>
        <u val="none"/>
        <vertAlign val="baseline"/>
        <sz val="14"/>
        <name val="Helvetica"/>
        <scheme val="none"/>
      </font>
    </dxf>
    <dxf>
      <font>
        <strike val="0"/>
        <outline val="0"/>
        <shadow val="0"/>
        <u val="none"/>
        <vertAlign val="baseline"/>
        <sz val="14"/>
        <name val="Helvetica"/>
        <scheme val="none"/>
      </font>
    </dxf>
    <dxf>
      <font>
        <strike val="0"/>
        <outline val="0"/>
        <shadow val="0"/>
        <u val="none"/>
        <vertAlign val="baseline"/>
        <sz val="14"/>
        <name val="Helvetica"/>
        <scheme val="none"/>
      </font>
    </dxf>
    <dxf>
      <font>
        <strike val="0"/>
        <outline val="0"/>
        <shadow val="0"/>
        <u val="none"/>
        <vertAlign val="baseline"/>
        <sz val="14"/>
        <name val="Helvetica"/>
        <scheme val="none"/>
      </font>
    </dxf>
    <dxf>
      <font>
        <strike val="0"/>
        <outline val="0"/>
        <shadow val="0"/>
        <u val="none"/>
        <vertAlign val="baseline"/>
        <sz val="14"/>
        <name val="Helvetica"/>
        <scheme val="none"/>
      </font>
    </dxf>
    <dxf>
      <font>
        <strike val="0"/>
        <outline val="0"/>
        <shadow val="0"/>
        <u val="none"/>
        <vertAlign val="baseline"/>
        <sz val="14"/>
        <name val="Helvetica"/>
        <scheme val="none"/>
      </font>
    </dxf>
    <dxf>
      <font>
        <strike val="0"/>
        <outline val="0"/>
        <shadow val="0"/>
        <u val="none"/>
        <vertAlign val="baseline"/>
        <sz val="14"/>
        <name val="Helvetica"/>
        <scheme val="none"/>
      </font>
    </dxf>
    <dxf>
      <font>
        <strike val="0"/>
        <outline val="0"/>
        <shadow val="0"/>
        <u val="none"/>
        <vertAlign val="baseline"/>
        <sz val="14"/>
        <name val="Helvetica"/>
        <scheme val="none"/>
      </font>
    </dxf>
    <dxf>
      <font>
        <strike val="0"/>
        <outline val="0"/>
        <shadow val="0"/>
        <u val="none"/>
        <vertAlign val="baseline"/>
        <sz val="14"/>
        <name val="Helvetica"/>
        <scheme val="none"/>
      </font>
    </dxf>
    <dxf>
      <font>
        <strike val="0"/>
        <outline val="0"/>
        <shadow val="0"/>
        <u val="none"/>
        <vertAlign val="baseline"/>
        <sz val="14"/>
        <name val="Helvetica"/>
        <scheme val="none"/>
      </font>
    </dxf>
    <dxf>
      <font>
        <strike val="0"/>
        <outline val="0"/>
        <shadow val="0"/>
        <u val="none"/>
        <vertAlign val="baseline"/>
        <sz val="14"/>
        <name val="Helvetica"/>
        <scheme val="none"/>
      </font>
    </dxf>
    <dxf>
      <font>
        <strike val="0"/>
        <outline val="0"/>
        <shadow val="0"/>
        <u val="none"/>
        <vertAlign val="baseline"/>
        <sz val="14"/>
        <name val="Helvetica"/>
        <scheme val="none"/>
      </font>
    </dxf>
    <dxf>
      <font>
        <color rgb="FF595959"/>
      </font>
      <fill>
        <patternFill>
          <bgColor rgb="FFE7E6E6"/>
        </patternFill>
      </fill>
    </dxf>
    <dxf>
      <font>
        <color rgb="FF17365D"/>
      </font>
      <fill>
        <patternFill>
          <bgColor rgb="FFD9EAF7"/>
        </patternFill>
      </fill>
    </dxf>
    <dxf>
      <font>
        <b/>
        <color rgb="FF403151"/>
      </font>
      <fill>
        <patternFill>
          <bgColor rgb="FFE4DFEC"/>
        </patternFill>
      </fill>
    </dxf>
    <dxf>
      <font>
        <color rgb="FF595959"/>
      </font>
      <fill>
        <patternFill>
          <bgColor rgb="FFE7E6E6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17365D"/>
      </font>
      <fill>
        <patternFill>
          <bgColor rgb="FFD9EAF7"/>
        </patternFill>
      </fill>
    </dxf>
    <dxf>
      <font>
        <b/>
        <color rgb="FF375623"/>
      </font>
      <fill>
        <patternFill>
          <bgColor rgb="FFE2F0D9"/>
        </patternFill>
      </fill>
    </dxf>
    <dxf>
      <font>
        <color rgb="FF595959"/>
      </font>
      <fill>
        <patternFill>
          <bgColor rgb="FFE7E6E6"/>
        </patternFill>
      </fill>
    </dxf>
    <dxf>
      <font>
        <color rgb="FF17365D"/>
      </font>
      <fill>
        <patternFill>
          <bgColor rgb="FFD9EAF7"/>
        </patternFill>
      </fill>
    </dxf>
    <dxf>
      <font>
        <b/>
        <color rgb="FF403151"/>
      </font>
      <fill>
        <patternFill>
          <bgColor rgb="FFE4DFEC"/>
        </patternFill>
      </fill>
    </dxf>
    <dxf>
      <font>
        <color rgb="FF595959"/>
      </font>
      <fill>
        <patternFill>
          <bgColor rgb="FFE7E6E6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17365D"/>
      </font>
      <fill>
        <patternFill>
          <bgColor rgb="FFD9EAF7"/>
        </patternFill>
      </fill>
    </dxf>
    <dxf>
      <font>
        <b/>
        <color rgb="FF375623"/>
      </font>
      <fill>
        <patternFill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Codex/2026-09-02/yamnaya-lit-review-do-not-research/outputs/zotero-audit/zotero-collection-audit.xlsx" TargetMode="External"/><Relationship Id="rId2" Type="http://schemas.openxmlformats.org/officeDocument/2006/relationships/externalLinkPath" Target="/Users/lochana-mbp/Documents/Codex/2026-09-02/yamnaya-lit-review-do-not-research/outputs/zotero-audit/zotero-collection-audit.xlsx" TargetMode="External"/><Relationship Id="rId1" Type="http://schemas.openxmlformats.org/officeDocument/2006/relationships/externalLinkPath" Target="/Users/lochana-mbp/Documents/Codex/2026-09-02/yamnaya-lit-review-do-not-research/outputs/zotero-audit/zotero-collection-audi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ummary"/>
      <sheetName val="Inventory"/>
      <sheetName val="Flag Register"/>
      <sheetName val="Provenance"/>
      <sheetName val="Screening Decisions"/>
      <sheetName val="PRISMA Status"/>
      <sheetName val="Evidence Extraction"/>
      <sheetName val="Synthesis Table"/>
      <sheetName val="Synthesis Themes"/>
      <sheetName val="Agreements &amp; Gaps"/>
      <sheetName val="Argument Outline"/>
    </sheetNames>
    <sheetDataSet>
      <sheetData sheetId="0"/>
      <sheetData sheetId="1"/>
      <sheetData sheetId="2"/>
      <sheetData sheetId="3"/>
      <sheetData sheetId="4"/>
      <sheetData sheetId="5"/>
      <sheetData sheetId="6">
        <row r="2">
          <cell r="A2" t="str">
            <v>Wong et al. (2017)</v>
          </cell>
          <cell r="B2" t="str">
            <v>CEFW5MDT</v>
          </cell>
          <cell r="D2" t="str">
            <v>Western Siberia; northeastern Europe; Urals</v>
          </cell>
          <cell r="E2" t="str">
            <v>Mansi, Khanty, Nenets, Selkup and other northern Eurasian groups; published Yamnaya and other ancient comparators</v>
          </cell>
          <cell r="F2" t="str">
            <v>Modern genomes; ancient comparators include Yamnaya (~4.7–5.3 kya)</v>
          </cell>
          <cell r="G2" t="str">
            <v>28 high-coverage modern genomes from 14 groups, 32 additional modern genomes and 46 published ancient genomes</v>
          </cell>
          <cell r="H2" t="str">
            <v>High-coverage whole-genome sequencing; PCA; TreeMix; D-statistics; admixture modelling</v>
          </cell>
          <cell r="I2" t="str">
            <v>Western Siberian groups, especially Mansi, share excess alleles with ancient eastern Europeans including Yamnaya; western Siberian-related ancestry is also detectable in northeastern Europeans.</v>
          </cell>
          <cell r="L2" t="str">
            <v>Westward gene flow and later contact across northern Eurasia</v>
          </cell>
          <cell r="M2" t="str">
            <v>Authors infer western Siberian input into northeastern Europe before the Yamnaya horizon, probably before ~6.6 kya.</v>
          </cell>
          <cell r="O2" t="str">
            <v>The authors reconstruct deep Siberia–Europe interaction and caution that Mansi are not descendants of Yamnaya.</v>
          </cell>
          <cell r="P2" t="str">
            <v>BACKGROUND</v>
          </cell>
          <cell r="Q2" t="str">
            <v>Late Proto-Indo-European is contextual only; the paper makes no independent linguistic inference.</v>
          </cell>
          <cell r="S2" t="str">
            <v>Predominantly a northern Eurasian study using modern populations; target-period movement is indirect.</v>
          </cell>
          <cell r="T2" t="str">
            <v>Ancient genomes are published comparators; direction and timing depend on population models and sparse ancient sampling.</v>
          </cell>
          <cell r="U2" t="str">
            <v>Adds contextual evidence that northern Eurasian gene flow pre-dated and overlapped the Yamnaya horizon, qualifying a simple one-way expansion narrative.</v>
          </cell>
          <cell r="W2" t="str">
            <v>pp. 1–2, 9–12</v>
          </cell>
        </row>
        <row r="3">
          <cell r="A3" t="str">
            <v>Chintalapati et al. (2022)</v>
          </cell>
          <cell r="B3" t="str">
            <v>EIBGSQF3</v>
          </cell>
          <cell r="D3" t="str">
            <v>Europe and western Asia; 16 regional groupings</v>
          </cell>
          <cell r="E3" t="str">
            <v>Mesolithic, Neolithic, Steppe pastoralist, Yamnaya/Afanasievo-related and later European populations</v>
          </cell>
          <cell r="F3" t="str">
            <v>~8000–350 BCE</v>
          </cell>
          <cell r="G3" t="str">
            <v>Approximately 1,100 published ancient individuals</v>
          </cell>
          <cell r="H3" t="str">
            <v>DATES ancestry-covariance dating; ancestry source modelling; regional meta-analysis</v>
          </cell>
          <cell r="I3" t="str">
            <v>Admixture-date estimates reconstruct the formation and spread of Steppe pastoralist ancestry; estimated Yamnaya/Afanasievo genetic formation precedes their archaeological appearance by more than a millennium.</v>
          </cell>
          <cell r="L3" t="str">
            <v>Multi-stage westward and eastward dispersal of Steppe ancestry</v>
          </cell>
          <cell r="M3" t="str">
            <v>Formation before the Yamnaya horizon; major dispersals around and after ~3000 BCE</v>
          </cell>
          <cell r="O3" t="str">
            <v>The authors interpret the dated admixture patterns as a reconstruction of major Holocene migrations.</v>
          </cell>
          <cell r="P3" t="str">
            <v>EXPLICIT</v>
          </cell>
          <cell r="Q3" t="str">
            <v>The demographic chronology is presented as relevant to competing models of Indo-European dispersal; DNA does not identify the language spoken.</v>
          </cell>
          <cell r="S3" t="str">
            <v>Very broad spatial and temporal coverage; regional sampling density is uneven and much evidence lies outside 3300–2600 BCE.</v>
          </cell>
          <cell r="T3" t="str">
            <v>DATES approximates pulse admixture; multiple pulses can yield intermediate dates, closely related sources are difficult to separate and low ancestry proportions are uncertain.</v>
          </cell>
          <cell r="U3" t="str">
            <v>Provides a comparative chronology for Steppe-related ancestry formation and its westward/eastward spread.</v>
          </cell>
          <cell r="W3" t="str">
            <v>pp. 1–6 and regional-results sections</v>
          </cell>
        </row>
        <row r="4">
          <cell r="A4" t="str">
            <v>Wang et al. (2021)</v>
          </cell>
          <cell r="B4" t="str">
            <v>4IUR2RSU</v>
          </cell>
          <cell r="D4" t="str">
            <v>Mongolia, northern China, Amur region and western China</v>
          </cell>
          <cell r="E4" t="str">
            <v>Yamnaya/Afanasievo-related groups, Chemurchek, Shirenzigou and other ancient East Asian populations</v>
          </cell>
          <cell r="F4" t="str">
            <v>~6000 BCE–AD 1000</v>
          </cell>
          <cell r="G4" t="str">
            <v>166 ancient individuals and 383 present-day individuals from 46 groups</v>
          </cell>
          <cell r="H4" t="str">
            <v>Genome-wide capture / sequencing; PCA; qpWave; qpAdm; qpGraph; ancestry modelling</v>
          </cell>
          <cell r="I4" t="str">
            <v>Afanasievo is genetically very close to Yamnaya; Yamnaya/Afanasievo-related ancestry reached western Mongolia after ~3000 BCE, later declined there and persisted farther west in Xinjiang.</v>
          </cell>
          <cell r="L4" t="str">
            <v>Eastward Steppe dispersal with later regional admixture and partial ancestry loss</v>
          </cell>
          <cell r="M4" t="str">
            <v>After ~3000 BCE, with later Bronze and Iron Age continuities</v>
          </cell>
          <cell r="O4" t="str">
            <v>The authors interpret the genetic links as evidence for movement of Yamnaya descendants into Inner Asia.</v>
          </cell>
          <cell r="P4" t="str">
            <v>EXPLICIT</v>
          </cell>
          <cell r="Q4" t="str">
            <v>The authors argue that the demographic evidence adds weight to a migration-mediated spread of proto-Tocharian; this remains an interdisciplinary inference.</v>
          </cell>
          <cell r="S4" t="str">
            <v>East Asian ancient-DNA sampling is uneven, with several small or singleton archaeological groups; most evidence is east of the core Yamnaya zone.</v>
          </cell>
          <cell r="T4" t="str">
            <v>Some qpAdm models are equally plausible and closely related sources can be difficult to distinguish; cultural association does not guarantee matching ancestry.</v>
          </cell>
          <cell r="U4" t="str">
            <v>Supplies the principal eastward case study and an explicit, qualified Tocharian interpretation.</v>
          </cell>
          <cell r="W4" t="str">
            <v>pp. 1, 4–6</v>
          </cell>
        </row>
        <row r="5">
          <cell r="A5" t="str">
            <v>Scorrano et al. (2021)</v>
          </cell>
          <cell r="B5" t="str">
            <v>24A5ALRY</v>
          </cell>
          <cell r="D5" t="str">
            <v>Central, eastern, western and southern Europe</v>
          </cell>
          <cell r="E5" t="str">
            <v>Yamnaya proxies; Corded Ware; Bell Beaker; Neolithic and Bronze Age Europeans</v>
          </cell>
          <cell r="F5" t="str">
            <v>Late Neolithic to Bronze Age, focused on the third millennium BCE</v>
          </cell>
          <cell r="G5" t="str">
            <v>Published genome-wide and uniparental datasets; mtDNA phylogeny includes 695 samples; analysis-specific sample sizes vary</v>
          </cell>
          <cell r="H5" t="str">
            <v>PCA; qpAdm; outgroup f3; mtDNA and Y-chromosome analysis; autosome-versus-X ancestry comparison</v>
          </cell>
          <cell r="I5" t="str">
            <v>Steppe-related ancestry is highest in several Corded Ware groups and is more strongly male-biased there than in Bell Beaker groups; no comparable significant Steppe input is detected in the pooled mitochondrial gene pool.</v>
          </cell>
          <cell r="L5" t="str">
            <v>Westward, sex-biased ancestry dispersal followed by regionally variable admixture</v>
          </cell>
          <cell r="M5" t="str">
            <v>Mainly early to middle third millennium BCE</v>
          </cell>
          <cell r="O5" t="str">
            <v>The authors interpret the autosomal, X-chromosomal and uniparental differences as predominantly male-driven migration, especially into Corded Ware groups.</v>
          </cell>
          <cell r="P5" t="str">
            <v>INDIRECT</v>
          </cell>
          <cell r="Q5" t="str">
            <v>The discussion treats Steppe ancestry as compatible with the spread of some Indo-European languages but also notes counterexamples; language is not measured.</v>
          </cell>
          <cell r="S5" t="str">
            <v>Coverage is strongest for central/eastern Europe and varies sharply by regional archaeological group.</v>
          </cell>
          <cell r="T5" t="str">
            <v>Published-data reanalysis; low X-chromosome SNP counts and large standard deviations require caution; Yamnaya Y lineages are an imperfect male-source proxy.</v>
          </cell>
          <cell r="U5" t="str">
            <v>Provides a focused test of sex-biased migration and cautions against assuming the same demographic process across all of Europe.</v>
          </cell>
          <cell r="W5" t="str">
            <v>pp. 1–3, 7–9</v>
          </cell>
        </row>
        <row r="6">
          <cell r="A6" t="str">
            <v>Linderholm et al. (2020)</v>
          </cell>
          <cell r="B6" t="str">
            <v>Z6RYK2BV</v>
          </cell>
          <cell r="D6" t="str">
            <v>Southeastern Poland: Rzeszów Foothills, Małopolska Upland and Sokal Ridge</v>
          </cell>
          <cell r="E6" t="str">
            <v>Corded Ware and Bell Beaker individuals; Neolithic local and Steppe-related ancestry components</v>
          </cell>
          <cell r="F6" t="str">
            <v>Late third millennium BCE; individual radiocarbon dates reported</v>
          </cell>
          <cell r="G6" t="str">
            <v>19 genomes obtained from 53 sampled individuals (16 Corded Ware, 3 Bell Beaker); strontium for 16 individuals</v>
          </cell>
          <cell r="H6" t="str">
            <v>Whole-genome sequencing; PCA and ancestry analysis; mtDNA/Y haplogroups; kinship; strontium isotopes; radiocarbon dating</v>
          </cell>
          <cell r="I6" t="str">
            <v>Corded Ware individuals combine predominantly Steppe-associated paternal ancestry with maternal lineages linked to earlier Neolithic populations; three kin relationships include a local/non-local pair.</v>
          </cell>
          <cell r="L6" t="str">
            <v>Westward ancestry movement followed by local admixture and community-level mobility</v>
          </cell>
          <cell r="M6" t="str">
            <v>Corded Ware dominance after ~2800 BCE; sampled burials lie in the later third millennium BCE</v>
          </cell>
          <cell r="O6" t="str">
            <v>The authors interpret the combined evidence as a complex, regionally specific Corded Ware community rather than a homogeneous migrant population.</v>
          </cell>
          <cell r="P6" t="str">
            <v>INDIRECT</v>
          </cell>
          <cell r="Q6" t="str">
            <v>Linguistic change is mentioned as part of the broader third-millennium transition; no independent language analysis is performed.</v>
          </cell>
          <cell r="S6" t="str">
            <v>A single regional transect in southeastern Poland cannot represent all Corded Ware populations.</v>
          </cell>
          <cell r="T6" t="str">
            <v>Small sample size and uneven genome coverage (~0.02× to 5.47×); isotope baselines and cultural labels constrain mobility interpretation.</v>
          </cell>
          <cell r="U6" t="str">
            <v>Adds fine-scale evidence for sex-biased ancestry, local admixture and mobility within a Corded Ware community.</v>
          </cell>
          <cell r="W6" t="str">
            <v>pp. 1–4 and Results/Discussion</v>
          </cell>
        </row>
        <row r="7">
          <cell r="A7" t="str">
            <v>Tassi et al. (2017)</v>
          </cell>
          <cell r="B7" t="str">
            <v>Q2Y9FLYQ</v>
          </cell>
          <cell r="D7" t="str">
            <v>Kierzkowo, northwestern Poland; central European comparison</v>
          </cell>
          <cell r="E7" t="str">
            <v>Globular Amphorae culture, earlier Neolithic farmers, Yamnaya/Steppe-related groups and Corded Ware</v>
          </cell>
          <cell r="F7" t="str">
            <v>GAC context before the main Steppe expansion, approximately 3400/3100–2800 BCE</v>
          </cell>
          <cell r="G7" t="str">
            <v>Six individuals with nuclear data at 597,573 SNPs and 11 complete Neolithic mitochondrial sequences</v>
          </cell>
          <cell r="H7" t="str">
            <v>Genome-wide comparison; PCA and allele-sharing statistics; mitochondrial analysis; approximate Bayesian computation of alternative demographic models</v>
          </cell>
          <cell r="I7" t="str">
            <v>Sampled GAC individuals are closer to earlier Neolithic groups than to populations related to Pontic-Steppe migration and lack the expected Yamnaya-derived profile.</v>
          </cell>
          <cell r="L7" t="str">
            <v>Local genetic continuity with eastern cultural influence, before later Steppe gene flow</v>
          </cell>
          <cell r="M7" t="str">
            <v>Immediately before and overlapping the start of the target period</v>
          </cell>
          <cell r="O7" t="str">
            <v>The authors interpret GAC eastern archaeological affinities as cultural influence rather than movement of Steppe people.</v>
          </cell>
          <cell r="P7" t="str">
            <v>EXPLICIT</v>
          </cell>
          <cell r="Q7" t="str">
            <v>The study tests demographic expectations of Steppe/Kurgan and Anatolian language-dispersal models and stresses that language change need not track migration exactly.</v>
          </cell>
          <cell r="S7" t="str">
            <v>One burial context in northwestern Poland and a small number of individuals limit geographic generalization.</v>
          </cell>
          <cell r="T7" t="str">
            <v>Small sample; preservation and sample-selection losses; demographic conclusions depend on the compared models and reference populations.</v>
          </cell>
          <cell r="U7" t="str">
            <v>Provides a negative/qualifying case showing that archaeological eastern affinity need not imply Steppe migration or linguistic identity.</v>
          </cell>
          <cell r="W7" t="str">
            <v>pp. 1–4, 6–8</v>
          </cell>
        </row>
        <row r="8">
          <cell r="A8" t="str">
            <v>Ringbauer et al. (2024)</v>
          </cell>
          <cell r="B8" t="str">
            <v>MVP4P8Z2</v>
          </cell>
          <cell r="D8" t="str">
            <v>Eurasia, with a focused Corded Ware–Yamnaya analysis</v>
          </cell>
          <cell r="E8" t="str">
            <v>Yamnaya, Corded Ware, Globular Amphora and other Eneolithic/Bronze Age groups</v>
          </cell>
          <cell r="F8" t="str">
            <v>Broad ancient dataset; relevant Corded Ware interval ~3000–2400 BCE</v>
          </cell>
          <cell r="G8" t="str">
            <v>4,248 ancient Eurasian individuals</v>
          </cell>
          <cell r="H8" t="str">
            <v>ancIBD hidden Markov model; GLIMPSE imputation/phasing; identity-by-descent segment analysis</v>
          </cell>
          <cell r="I8" t="str">
            <v>Corded Ware groups share long IBD segments, including segments up to 20 cM, with multiple Yamnaya groups; most Corded Ware ancestry has genealogical links to Yamnaya within at most a few hundred years, alongside a substantial GAC-related component.</v>
          </cell>
          <cell r="L8" t="str">
            <v>Rapid, connected westward/northward dispersal followed by admixture</v>
          </cell>
          <cell r="M8" t="str">
            <v>Gene flow beginning around 3000 BCE; relationships span only a few hundred years</v>
          </cell>
          <cell r="O8" t="str">
            <v>The authors interpret long IBD sharing as inconsistent with a remote unsampled Steppe-like source separated from Yamnaya by about a millennium.</v>
          </cell>
          <cell r="P8" t="str">
            <v>INDIRECT</v>
          </cell>
          <cell r="Q8" t="str">
            <v>The study provides a demographic mechanism relevant to language spread but makes no independent claim about which language sampled people spoke.</v>
          </cell>
          <cell r="S8" t="str">
            <v>Results depend on which ancient individuals pass coverage thresholds and on uneven archaeological sampling.</v>
          </cell>
          <cell r="T8" t="str">
            <v>Reliable detection is mainly for segments &gt;8 cM and adequate coverage; SNP density, low coverage, imputation and false positives limit shorter-segment inference.</v>
          </cell>
          <cell r="U8" t="str">
            <v>Strengthens the immediate genealogical connection between Yamnaya and diverse Corded Ware populations.</v>
          </cell>
          <cell r="W8" t="str">
            <v>pp. 1, 5, 7–8</v>
          </cell>
        </row>
        <row r="9">
          <cell r="A9" t="str">
            <v>Dzhaubermezov et al. (2026)</v>
          </cell>
          <cell r="B9" t="str">
            <v>8LBVFX2C</v>
          </cell>
          <cell r="D9" t="str">
            <v>North and South Caucasus</v>
          </cell>
          <cell r="E9" t="str">
            <v>Caucasus hunter-gatherers, Maykop, Yamnaya, Catacomb, Kura-Araxes and later Caucasus populations</v>
          </cell>
          <cell r="F9" t="str">
            <v>~50,000 BCE–AD 1914; Bronze Age evidence is the relevant subset</v>
          </cell>
          <cell r="G9" t="str">
            <v>669 ancient individuals compiled; 565 ancient Caucasus individuals retained for PCA after quality control; modern comparators also used</v>
          </cell>
          <cell r="H9" t="str">
            <v>Systematic synthesis of published datasets; quality-controlled pooled reanalysis; PCA; D-statistics; relatedness screening</v>
          </cell>
          <cell r="I9" t="str">
            <v>The pooled data show early north–south differentiation, Bronze Age Steppe-related gene flow associated with Yamnaya and later admixture alongside substantial regional continuity.</v>
          </cell>
          <cell r="L9" t="str">
            <v>Corridor-like, bidirectional interaction across and around the Caucasus</v>
          </cell>
          <cell r="M9" t="str">
            <v>Long-term prehistory; Yamnaya-linked signal concentrated in the Bronze Age</v>
          </cell>
          <cell r="O9" t="str">
            <v>The authors synthesize the Caucasus as both a barrier and migration corridor involved in the ancestry of Steppe pastoralist societies.</v>
          </cell>
          <cell r="P9" t="str">
            <v>BACKGROUND</v>
          </cell>
          <cell r="Q9" t="str">
            <v>Proto-Indo-Anatolian and language–genetics links are largely attributed to recent cited studies rather than independently tested.</v>
          </cell>
          <cell r="S9" t="str">
            <v>Extremely broad chronology; early North Caucasus and late historical sampling gaps; Bronze Age findings must be isolated from later continuity.</v>
          </cell>
          <cell r="T9" t="str">
            <v>Secondary data vary in coverage, laboratory pipelines and sampling; pooled PCA is descriptive; source-study overlap risks double counting.</v>
          </cell>
          <cell r="U9" t="str">
            <v>Provides Caucasus corridor context and a secondary cross-study check on Steppe-related gene flow.</v>
          </cell>
          <cell r="W9" t="str">
            <v>pp. 1–4 and Bronze Age/Conclusion sections</v>
          </cell>
        </row>
        <row r="10">
          <cell r="A10" t="str">
            <v>Lazaridis et al. (2025)</v>
          </cell>
          <cell r="B10" t="str">
            <v>KZVYLCU9</v>
          </cell>
          <cell r="D10" t="str">
            <v>Caucasus–Lower Volga, Volga, Dnipro, Pontic-Caspian Steppe and southeast Europe</v>
          </cell>
          <cell r="E10" t="str">
            <v>Caucasus–Lower Volga cline, Volga cline, Dnipro cline, Serednii Stih, Yamnaya, Corded Ware and Anatolian-related groups</v>
          </cell>
          <cell r="F10" t="str">
            <v>~6400–2000 BCE</v>
          </cell>
          <cell r="G10" t="str">
            <v>435 individuals (367 newly reported plus 68 with improved data); 803 libraries screened</v>
          </cell>
          <cell r="H10" t="str">
            <v>Genome-wide ancient DNA; PCA; qpWave/qpAdm competition framework; admixture dating; IBD and haplogroup analyses</v>
          </cell>
          <cell r="I10" t="str">
            <v>Caucasus–Lower Volga ancestry moved west and mixed with Dnipro/Don hunter-gatherer ancestry, contributing about four-fifths of Yamnaya ancestry; a Core Yamnaya population formed by ~4000 BCE and expanded rapidly after ~3300 BCE.</v>
          </cell>
          <cell r="L10" t="str">
            <v>Multi-stage formation followed by rapid westward and eastward expansion</v>
          </cell>
          <cell r="M10" t="str">
            <v>Precursors ~4500–4000 BCE; Yamnaya expansion after ~3300 BCE</v>
          </cell>
          <cell r="O10" t="str">
            <v>The authors propose a lower Dnipro/Don-centred formation process and a rapid Yamnaya expansion, while acknowledging unresolved core geography.</v>
          </cell>
          <cell r="P10" t="str">
            <v>EXPLICIT</v>
          </cell>
          <cell r="Q10" t="str">
            <v>The authors propose proto-Indo-Anatolian unity among Caucasus–Lower Volga populations before Yamnaya formation and link later dispersals to language branching.</v>
          </cell>
          <cell r="S10" t="str">
            <v>More than 80% of the study samples are from Russia; lower Volga precursors and some proposed routes remain sparsely sampled.</v>
          </cell>
          <cell r="T10" t="str">
            <v>An unsampled CHG-related source is required in models; precise Anatolian route/source and Core Yamnaya location cannot be fixed conclusively.</v>
          </cell>
          <cell r="U10" t="str">
            <v>Provides the central formation-and-expansion model and the collection's strongest explicit genetics–language synthesis.</v>
          </cell>
          <cell r="W10" t="str">
            <v>pp. 1–7</v>
          </cell>
        </row>
        <row r="11">
          <cell r="A11" t="str">
            <v>Nikitin et al. (2025)</v>
          </cell>
          <cell r="B11" t="str">
            <v>9DJYHJ7E</v>
          </cell>
          <cell r="D11" t="str">
            <v>North Pontic region, especially present-day Ukraine</v>
          </cell>
          <cell r="E11" t="str">
            <v>North Pontic foragers, Trypillian farmers, Usatove, Serednii Stih and Yamna</v>
          </cell>
          <cell r="F11" t="str">
            <v>Neolithic to Early Bronze Age; key interval ~4500–3300 BCE</v>
          </cell>
          <cell r="G11" t="str">
            <v>81 prehistoric North Pontic individuals; 51 direct radiocarbon dates; co-analysis with the companion Steppe dataset</v>
          </cell>
          <cell r="H11" t="str">
            <v>Genome-wide ancient DNA; PCA; qpAdm/ancestry modelling; radiocarbon and isotope context</v>
          </cell>
          <cell r="I11" t="str">
            <v>Three ancestry-bearing movements are resolved: Caucasus–Lower Volga migrants mixing with Trypillians to form Usatove, a parallel mixture with foragers forming Serednii Stih, and Yamna descent from Serednii Stih with expansion from ~3300 BCE.</v>
          </cell>
          <cell r="L11" t="str">
            <v>Successive westward/local mixtures followed by Yamna expansion</v>
          </cell>
          <cell r="M11" t="str">
            <v>~4500 BCE, ~4000 BCE formation, and ~3300 BCE expansion</v>
          </cell>
          <cell r="O11" t="str">
            <v>The authors interpret the three waves as a flexible demographic strategy underlying Yamna success and expansion.</v>
          </cell>
          <cell r="P11" t="str">
            <v>INDIRECT</v>
          </cell>
          <cell r="Q11" t="str">
            <v>Indo-European dispersal is contextual; the paper reconstructs a plausible population mechanism but does not directly identify language.</v>
          </cell>
          <cell r="S11" t="str">
            <v>Concentrated in the North Pontic region and dependent on site availability; the wider Eurasian expansion is inferred using companion data.</v>
          </cell>
          <cell r="T11" t="str">
            <v>Some proximate ancestry sources remain unclear; uneven earlier sampling and model dependence limit fine-scale route certainty.</v>
          </cell>
          <cell r="U11" t="str">
            <v>Supplies high-resolution evidence for Yamnaya formation immediately before, and expansion at the start of, the target period.</v>
          </cell>
          <cell r="W11" t="str">
            <v>pp. 1–4 and Discussion</v>
          </cell>
        </row>
        <row r="12">
          <cell r="A12" t="str">
            <v>Papac et al. (2021)</v>
          </cell>
          <cell r="B12" t="str">
            <v>U92TYDRN</v>
          </cell>
          <cell r="D12" t="str">
            <v>Bohemia, central Europe</v>
          </cell>
          <cell r="E12" t="str">
            <v>Pre-Corded Ware groups, Corded Ware, Bell Beaker and Únětice populations</v>
          </cell>
          <cell r="F12" t="str">
            <v>~4900–1600 BCE; key evidence ~2900–2400 BCE</v>
          </cell>
          <cell r="G12" t="str">
            <v>271 ancient human genomes</v>
          </cell>
          <cell r="H12" t="str">
            <v>Genome-wide ancient DNA; PCA; f-statistics/qpAdm; haplogroups; kinship and temporal population modelling</v>
          </cell>
          <cell r="I12" t="str">
            <v>Corded Ware appears by ~2900 BCE with high but heterogeneous Steppe ancestry not wholly derived from sampled Yamnaya; diverse females were assimilated, followed by sharp Y-chromosome changes around 2600 and 2400 BCE and later ≥40% turnover.</v>
          </cell>
          <cell r="L12" t="str">
            <v>Westward arrival followed by local assimilation and repeated social/genetic reorganization</v>
          </cell>
          <cell r="M12" t="str">
            <v>~2900 BCE arrival; transformations around 2600 and 2400 BCE; later Bronze Age turnover</v>
          </cell>
          <cell r="O12" t="str">
            <v>The authors interpret the Bohemian transect as evidence for multiple migrations and changing social structures, not a single homogeneous replacement.</v>
          </cell>
          <cell r="P12" t="str">
            <v>INDIRECT</v>
          </cell>
          <cell r="Q12" t="str">
            <v>The population movements could carry language, but the study does not independently determine linguistic identity.</v>
          </cell>
          <cell r="S12" t="str">
            <v>One central-European region; later 2400 BCE and Bronze Age evidence lies outside the primary 3300–2600 BCE interval.</v>
          </cell>
          <cell r="T12" t="str">
            <v>Archaeological culture labels may not represent unified social entities; source populations remain partly unsampled and ancestry models are proxy-dependent.</v>
          </cell>
          <cell r="U12" t="str">
            <v>Provides a regional time transect that qualifies simple mass-replacement and single-source accounts.</v>
          </cell>
          <cell r="W12" t="str">
            <v>pp. 1–6</v>
          </cell>
        </row>
        <row r="13">
          <cell r="A13" t="str">
            <v>Mathieson et al. (2018)</v>
          </cell>
          <cell r="B13" t="str">
            <v>TTSVUEKS</v>
          </cell>
          <cell r="D13" t="str">
            <v>Balkan Peninsula, Carpathian Basin, North Pontic Steppe and surrounding southeastern Europe</v>
          </cell>
          <cell r="E13" t="str">
            <v>Hunter-gatherers, Neolithic farmers, Eneolithic groups and Yamnaya-related Steppe populations</v>
          </cell>
          <cell r="F13" t="str">
            <v>~12,000–500 BCE; relevant Steppe contacts extend into the fourth and third millennia BCE</v>
          </cell>
          <cell r="G13" t="str">
            <v>225 ancient individuals (215 newly reported); 216 retained for population analysis after exclusions</v>
          </cell>
          <cell r="H13" t="str">
            <v>1.24-million-SNP capture; PCA; supervised/unsupervised ADMIXTURE; D-statistics; qpAdm; qpGraph; 137 new radiocarbon dates</v>
          </cell>
          <cell r="I13" t="str">
            <v>Intermittent genetic contact between southeastern Europe and Steppe populations occurred up to ~2,000 years before the large Steppe migrations; the dataset also documents early stages of Steppe ancestry formation and later ancestry replacement.</v>
          </cell>
          <cell r="L13" t="str">
            <v>Repeated east–west contact preceding larger third-millennium migration</v>
          </cell>
          <cell r="M13" t="str">
            <v>Early contacts before 4000 BCE; major later movements around and after 3000 BCE</v>
          </cell>
          <cell r="O13" t="str">
            <v>The authors interpret southeastern Europe as a long-term east–west nexus rather than a corridor activated only by the Yamnaya expansion.</v>
          </cell>
          <cell r="P13" t="str">
            <v>INDIRECT</v>
          </cell>
          <cell r="Q13" t="str">
            <v>The study supplies demographic context relevant to language-spread models but does not make language an empirical outcome.</v>
          </cell>
          <cell r="S13" t="str">
            <v>Chronology is extremely broad and much evidence predates or postdates 3300–2600 BCE; relevant subsets must be isolated.</v>
          </cell>
          <cell r="T13" t="str">
            <v>Uneven preservation and coverage, thresholds for analysed individuals and proxy-based ancestry models constrain fine-scale conclusions.</v>
          </cell>
          <cell r="U13" t="str">
            <v>Shows that Yamnaya-era movement emerged from a longer history of Steppe–southeastern European contact.</v>
          </cell>
          <cell r="W13" t="str">
            <v>pp. 1–4 and Steppe-contact sections</v>
          </cell>
        </row>
        <row r="14">
          <cell r="A14" t="str">
            <v>Olalde et al. (2018)</v>
          </cell>
          <cell r="B14" t="str">
            <v>2PL38PG4</v>
          </cell>
          <cell r="D14" t="str">
            <v>Western and central Europe, especially Iberia, central Europe and Britain</v>
          </cell>
          <cell r="E14" t="str">
            <v>Bell Beaker-associated individuals, Corded Ware-related Steppe ancestry and local Neolithic populations</v>
          </cell>
          <cell r="F14" t="str">
            <v>~4700–800 BCE; key Beaker interval ~2750–2200 BCE</v>
          </cell>
          <cell r="G14" t="str">
            <v>400 ancient Europeans from 136 sites, including 226 Beaker-associated individuals; combined analysis dataset 683 ancient samples</v>
          </cell>
          <cell r="H14" t="str">
            <v>1.23-million-SNP capture; PCA; f-statistics/qpAdm; Y-chromosome analysis; 111 direct radiocarbon dates</v>
          </cell>
          <cell r="I14" t="str">
            <v>Iberian and central-European Beaker groups show limited genetic affinity, but Beaker-associated migration carried high Steppe-related ancestry into Britain and replaced about 90% of its gene pool within a few hundred years.</v>
          </cell>
          <cell r="L14" t="str">
            <v>Continued east-to-west dispersal with regionally different balances of cultural diffusion and migration</v>
          </cell>
          <cell r="M14" t="str">
            <v>From ~2750/2500 BCE, mainly after the primary Yamnaya interval</v>
          </cell>
          <cell r="O14" t="str">
            <v>The authors interpret the Beaker phenomenon as heterogeneous: cultural transmission between some regions and mass migration into others.</v>
          </cell>
          <cell r="P14" t="str">
            <v>INDIRECT</v>
          </cell>
          <cell r="Q14" t="str">
            <v>The study demonstrates a later demographic mechanism that could transmit language but makes no independent language identification.</v>
          </cell>
          <cell r="S14" t="str">
            <v>Most decisive British evidence postdates 2600 BCE and represents consequences of earlier Steppe dispersal, not core Yamnaya movement.</v>
          </cell>
          <cell r="T14" t="str">
            <v>Regional sample imbalance and proxy ancestry sources limit exact origins; shared artefacts cannot be equated with shared population identity.</v>
          </cell>
          <cell r="U14" t="str">
            <v>Provides a strong later consequence and a clear demonstration that material-culture spread can be demic in one region and cultural in another.</v>
          </cell>
          <cell r="W14" t="str">
            <v>pp. 1–5</v>
          </cell>
        </row>
        <row r="15">
          <cell r="A15" t="str">
            <v>Allentoft et al. (2015)</v>
          </cell>
          <cell r="B15" t="str">
            <v>B2PLN5IB</v>
          </cell>
          <cell r="D15" t="str">
            <v>Europe and central Asia</v>
          </cell>
          <cell r="E15" t="str">
            <v>Yamnaya, Corded Ware, Afanasievo and other Bronze Age Eurasian groups</v>
          </cell>
          <cell r="F15" t="str">
            <v>Broadly ~3000–1000 BCE, with relevant early Bronze Age samples</v>
          </cell>
          <cell r="G15" t="str">
            <v>101 low-coverage ancient Eurasian genomes; 19 exceed 1× average coverage</v>
          </cell>
          <cell r="H15" t="str">
            <v>Low-coverage whole-genome sequencing; PCA; ADMIXTURE; f-statistics; genomic-distance and haplogroup analysis</v>
          </cell>
          <cell r="I15" t="str">
            <v>Corded Ware groups show substantial Yamnaya-related ancestry, while Afanasievo individuals in the Altai are genetically close to Yamnaya, documenting both westward and eastward Steppe-associated dispersals.</v>
          </cell>
          <cell r="L15" t="str">
            <v>Large-scale bidirectional expansion followed by mixture and regional replacement</v>
          </cell>
          <cell r="M15" t="str">
            <v>Early third millennium BCE and later Bronze Age consequences</v>
          </cell>
          <cell r="O15" t="str">
            <v>The authors interpret the genomic transformations as large-scale migrations that reshaped Bronze Age Eurasia.</v>
          </cell>
          <cell r="P15" t="str">
            <v>EXPLICIT</v>
          </cell>
          <cell r="Q15" t="str">
            <v>The demographic findings are described as consistent with a hypothesized Early Bronze Age spread of Indo-European languages, not as proof of speech.</v>
          </cell>
          <cell r="S15" t="str">
            <v>Eurasia-wide scope and broad chronology reduce fine regional resolution; several archaeological groups have few individuals.</v>
          </cell>
          <cell r="T15" t="str">
            <v>Low and uneven genome coverage; source populations are proxies and cultural labels may encompass heterogeneous populations.</v>
          </cell>
          <cell r="U15" t="str">
            <v>Foundational evidence for both westward Corded Ware-related and eastward Afanasievo-related dispersals.</v>
          </cell>
          <cell r="W15" t="str">
            <v>pp. 1–5</v>
          </cell>
        </row>
        <row r="16">
          <cell r="A16" t="str">
            <v>Haak et al. (2015)</v>
          </cell>
          <cell r="B16" t="str">
            <v>6ZNHJTYH</v>
          </cell>
          <cell r="D16" t="str">
            <v>Central and northern Europe with Yamnaya samples from Samara</v>
          </cell>
          <cell r="E16" t="str">
            <v>Yamnaya, Corded Ware, Late Neolithic/Early Bronze Age Europeans and earlier farmers/hunter-gatherers</v>
          </cell>
          <cell r="F16" t="str">
            <v>Mainly ~6000–1000 BCE; key Yamnaya/Corded Ware comparison ~3300–2500 BCE</v>
          </cell>
          <cell r="G16" t="str">
            <v>69 newly analysed ancient Europeans (94 libraries); combined analysis includes 25 previously published ancient individuals</v>
          </cell>
          <cell r="H16" t="str">
            <v>390,000-SNP capture; PCA; ADMIXTURE; f3/f4 statistics; ancestry modelling; mtDNA and Y haplogroups</v>
          </cell>
          <cell r="I16" t="str">
            <v>German Corded Ware individuals derive roughly three-quarters of their ancestry from a Yamnaya-related source, indicating a rapid and large population influx from the eastern Steppe around the early third millennium BCE.</v>
          </cell>
          <cell r="L16" t="str">
            <v>Rapid westward migration and admixture with local Neolithic populations</v>
          </cell>
          <cell r="M16" t="str">
            <v>Approximately 3000–2500 BCE</v>
          </cell>
          <cell r="O16" t="str">
            <v>The authors interpret the ancestry shift as evidence for a major migration from the Steppe into central Europe.</v>
          </cell>
          <cell r="P16" t="str">
            <v>EXPLICIT</v>
          </cell>
          <cell r="Q16" t="str">
            <v>The demographic migration is presented as supporting a Steppe-origin model for at least some Indo-European languages; the paper explicitly notes that ancient DNA is silent on language itself.</v>
          </cell>
          <cell r="S16" t="str">
            <v>Samara Yamnaya may not be the direct source population; southern-European and Asian language histories are not resolved.</v>
          </cell>
          <cell r="T16" t="str">
            <v>Small group sizes, uneven coverage and proxy-source choice limit exact route and ancestry estimates.</v>
          </cell>
          <cell r="U16" t="str">
            <v>Foundational evidence for large-scale westward Steppe migration and a carefully qualified demographic–linguistic interpretation.</v>
          </cell>
          <cell r="W16" t="str">
            <v>pp. 1–4</v>
          </cell>
        </row>
      </sheetData>
      <sheetData sheetId="7"/>
      <sheetData sheetId="8"/>
      <sheetData sheetId="9"/>
      <sheetData sheetId="10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92AD81-F3B0-534B-B393-ECD7BB5B85AC}" name="CrossStudySynthesis" displayName="CrossStudySynthesis" ref="A1:R16" totalsRowShown="0" headerRowDxfId="19" dataDxfId="18">
  <tableColumns count="18">
    <tableColumn id="1" xr3:uid="{20D24EAE-424A-EE42-94A8-579733A7D900}" name="Study" dataDxfId="17"/>
    <tableColumn id="2" xr3:uid="{FDB89B7B-F39F-B648-AFDB-069C73F6EA89}" name="Analytical Theme" dataDxfId="16"/>
    <tableColumn id="3" xr3:uid="{E6A506EA-8816-2A40-B537-CB64FD5F6EE2}" name="Analytical Role" dataDxfId="15"/>
    <tableColumn id="4" xr3:uid="{1463F70C-311E-1448-B77A-902387CE0D7A}" name="Region" dataDxfId="14"/>
    <tableColumn id="5" xr3:uid="{2B36FDDE-5D9D-1545-B75C-3BD158587B30}" name="Date / Samples" dataDxfId="13"/>
    <tableColumn id="6" xr3:uid="{E48104CE-506B-434A-A4CF-7CD813907311}" name="Methods" dataDxfId="12"/>
    <tableColumn id="7" xr3:uid="{750DB1CF-549F-0B4A-94A1-BC1F3BE278D4}" name="Genetic / Demographic Result" dataDxfId="11"/>
    <tableColumn id="8" xr3:uid="{330F8F13-0F20-5D4C-82D9-9CBA1AF924BA}" name="Migration Evidence" dataDxfId="10"/>
    <tableColumn id="9" xr3:uid="{48B10441-C23B-AD4F-8258-9397DCE21CF7}" name="Route / Pattern" dataDxfId="9"/>
    <tableColumn id="10" xr3:uid="{F0AF5E73-AFE4-0247-BF9E-C4809751246B}" name="Connected Populations" dataDxfId="8"/>
    <tableColumn id="11" xr3:uid="{B044D0E6-DA7A-DE4F-8412-F94D15A2A1F2}" name="Migration Chronology" dataDxfId="7"/>
    <tableColumn id="12" xr3:uid="{0EFDEA9F-15DF-AB4D-9DE8-2CC9D11C8123}" name="Language Relevance" dataDxfId="6"/>
    <tableColumn id="13" xr3:uid="{F98B3FAD-7B52-E443-B099-85590D72E98F}" name="Language Interpretation" dataDxfId="5"/>
    <tableColumn id="14" xr3:uid="{479C78BF-2E11-9A41-8621-7B16765586AF}" name="Main Interpretation" dataDxfId="4"/>
    <tableColumn id="15" xr3:uid="{C27591C6-593D-2C4B-8144-D0DFCBE859F7}" name="Limitations" dataDxfId="3"/>
    <tableColumn id="16" xr3:uid="{E784242F-8595-4C48-A820-FC1E0DDD87E9}" name="Contribution to Review" dataDxfId="2"/>
    <tableColumn id="17" xr3:uid="{4FBDEB0D-E8D4-0041-869F-5E685585E3A4}" name="Zotero Item Key" dataDxfId="1"/>
    <tableColumn id="18" xr3:uid="{7CF79E78-965C-9F46-937E-4E231642B995}" name="Evidence Pointe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D3523-8AC4-5447-98DF-CBEE644A921A}">
  <dimension ref="A1:R16"/>
  <sheetViews>
    <sheetView tabSelected="1" workbookViewId="0">
      <selection activeCell="D4" sqref="D4"/>
    </sheetView>
  </sheetViews>
  <sheetFormatPr baseColWidth="10" defaultRowHeight="16" x14ac:dyDescent="0.2"/>
  <cols>
    <col min="1" max="1" width="23" customWidth="1"/>
    <col min="2" max="3" width="29" customWidth="1"/>
    <col min="4" max="4" width="37" customWidth="1"/>
    <col min="5" max="5" width="54" customWidth="1"/>
    <col min="6" max="6" width="52" customWidth="1"/>
    <col min="7" max="8" width="64" customWidth="1"/>
    <col min="9" max="9" width="44" customWidth="1"/>
    <col min="10" max="10" width="49" customWidth="1"/>
    <col min="11" max="11" width="43" customWidth="1"/>
    <col min="12" max="12" width="20" customWidth="1"/>
    <col min="13" max="14" width="60" customWidth="1"/>
    <col min="15" max="15" width="66" customWidth="1"/>
    <col min="16" max="16" width="62" customWidth="1"/>
    <col min="17" max="17" width="16" customWidth="1"/>
    <col min="18" max="18" width="32" customWidth="1"/>
  </cols>
  <sheetData>
    <row r="1" spans="1:18" ht="3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ht="95" x14ac:dyDescent="0.2">
      <c r="A2" s="2" t="str">
        <f>'[1]Evidence Extraction'!A10</f>
        <v>Lazaridis et al. (2025)</v>
      </c>
      <c r="B2" s="2" t="s">
        <v>18</v>
      </c>
      <c r="C2" s="2" t="s">
        <v>19</v>
      </c>
      <c r="D2" s="3" t="str">
        <f>'[1]Evidence Extraction'!D10</f>
        <v>Caucasus–Lower Volga, Volga, Dnipro, Pontic-Caspian Steppe and southeast Europe</v>
      </c>
      <c r="E2" s="3" t="str">
        <f>'[1]Evidence Extraction'!F10&amp;" | "&amp;'[1]Evidence Extraction'!G10</f>
        <v>~6400–2000 BCE | 435 individuals (367 newly reported plus 68 with improved data); 803 libraries screened</v>
      </c>
      <c r="F2" s="3" t="str">
        <f>'[1]Evidence Extraction'!H10</f>
        <v>Genome-wide ancient DNA; PCA; qpWave/qpAdm competition framework; admixture dating; IBD and haplogroup analyses</v>
      </c>
      <c r="G2" s="3" t="str">
        <f>'[1]Evidence Extraction'!I10</f>
        <v>Caucasus–Lower Volga ancestry moved west and mixed with Dnipro/Don hunter-gatherer ancestry, contributing about four-fifths of Yamnaya ancestry; a Core Yamnaya population formed by ~4000 BCE and expanded rapidly after ~3300 BCE.</v>
      </c>
      <c r="H2" s="3" t="s">
        <v>20</v>
      </c>
      <c r="I2" s="3" t="str">
        <f>'[1]Evidence Extraction'!L10</f>
        <v>Multi-stage formation followed by rapid westward and eastward expansion</v>
      </c>
      <c r="J2" s="3" t="str">
        <f>'[1]Evidence Extraction'!E10</f>
        <v>Caucasus–Lower Volga cline, Volga cline, Dnipro cline, Serednii Stih, Yamnaya, Corded Ware and Anatolian-related groups</v>
      </c>
      <c r="K2" s="3" t="str">
        <f>'[1]Evidence Extraction'!M10</f>
        <v>Precursors ~4500–4000 BCE; Yamnaya expansion after ~3300 BCE</v>
      </c>
      <c r="L2" s="3" t="str">
        <f>'[1]Evidence Extraction'!P10</f>
        <v>EXPLICIT</v>
      </c>
      <c r="M2" s="3" t="str">
        <f>'[1]Evidence Extraction'!Q10</f>
        <v>The authors propose proto-Indo-Anatolian unity among Caucasus–Lower Volga populations before Yamnaya formation and link later dispersals to language branching.</v>
      </c>
      <c r="N2" s="3" t="str">
        <f>'[1]Evidence Extraction'!O10</f>
        <v>The authors propose a lower Dnipro/Don-centred formation process and a rapid Yamnaya expansion, while acknowledging unresolved core geography.</v>
      </c>
      <c r="O2" s="3" t="str">
        <f>'[1]Evidence Extraction'!S10&amp;" | "&amp;'[1]Evidence Extraction'!T10</f>
        <v>More than 80% of the study samples are from Russia; lower Volga precursors and some proposed routes remain sparsely sampled. | An unsampled CHG-related source is required in models; precise Anatolian route/source and Core Yamnaya location cannot be fixed conclusively.</v>
      </c>
      <c r="P2" s="3" t="str">
        <f>'[1]Evidence Extraction'!U10</f>
        <v>Provides the central formation-and-expansion model and the collection's strongest explicit genetics–language synthesis.</v>
      </c>
      <c r="Q2" s="3" t="str">
        <f>'[1]Evidence Extraction'!B10</f>
        <v>KZVYLCU9</v>
      </c>
      <c r="R2" s="3" t="str">
        <f>"Evidence Extraction row 10; "&amp;'[1]Evidence Extraction'!W10</f>
        <v>Evidence Extraction row 10; pp. 1–7</v>
      </c>
    </row>
    <row r="3" spans="1:18" ht="95" x14ac:dyDescent="0.2">
      <c r="A3" s="2" t="str">
        <f>'[1]Evidence Extraction'!A11</f>
        <v>Nikitin et al. (2025)</v>
      </c>
      <c r="B3" s="2" t="s">
        <v>18</v>
      </c>
      <c r="C3" s="2" t="s">
        <v>19</v>
      </c>
      <c r="D3" s="3" t="str">
        <f>'[1]Evidence Extraction'!D11</f>
        <v>North Pontic region, especially present-day Ukraine</v>
      </c>
      <c r="E3" s="3" t="str">
        <f>'[1]Evidence Extraction'!F11&amp;" | "&amp;'[1]Evidence Extraction'!G11</f>
        <v>Neolithic to Early Bronze Age; key interval ~4500–3300 BCE | 81 prehistoric North Pontic individuals; 51 direct radiocarbon dates; co-analysis with the companion Steppe dataset</v>
      </c>
      <c r="F3" s="3" t="str">
        <f>'[1]Evidence Extraction'!H11</f>
        <v>Genome-wide ancient DNA; PCA; qpAdm/ancestry modelling; radiocarbon and isotope context</v>
      </c>
      <c r="G3" s="3" t="str">
        <f>'[1]Evidence Extraction'!I11</f>
        <v>Three ancestry-bearing movements are resolved: Caucasus–Lower Volga migrants mixing with Trypillians to form Usatove, a parallel mixture with foragers forming Serednii Stih, and Yamna descent from Serednii Stih with expansion from ~3300 BCE.</v>
      </c>
      <c r="H3" s="3" t="s">
        <v>21</v>
      </c>
      <c r="I3" s="3" t="str">
        <f>'[1]Evidence Extraction'!L11</f>
        <v>Successive westward/local mixtures followed by Yamna expansion</v>
      </c>
      <c r="J3" s="3" t="str">
        <f>'[1]Evidence Extraction'!E11</f>
        <v>North Pontic foragers, Trypillian farmers, Usatove, Serednii Stih and Yamna</v>
      </c>
      <c r="K3" s="3" t="str">
        <f>'[1]Evidence Extraction'!M11</f>
        <v>~4500 BCE, ~4000 BCE formation, and ~3300 BCE expansion</v>
      </c>
      <c r="L3" s="3" t="str">
        <f>'[1]Evidence Extraction'!P11</f>
        <v>INDIRECT</v>
      </c>
      <c r="M3" s="3" t="str">
        <f>'[1]Evidence Extraction'!Q11</f>
        <v>Indo-European dispersal is contextual; the paper reconstructs a plausible population mechanism but does not directly identify language.</v>
      </c>
      <c r="N3" s="3" t="str">
        <f>'[1]Evidence Extraction'!O11</f>
        <v>The authors interpret the three waves as a flexible demographic strategy underlying Yamna success and expansion.</v>
      </c>
      <c r="O3" s="3" t="str">
        <f>'[1]Evidence Extraction'!S11&amp;" | "&amp;'[1]Evidence Extraction'!T11</f>
        <v>Concentrated in the North Pontic region and dependent on site availability; the wider Eurasian expansion is inferred using companion data. | Some proximate ancestry sources remain unclear; uneven earlier sampling and model dependence limit fine-scale route certainty.</v>
      </c>
      <c r="P3" s="3" t="str">
        <f>'[1]Evidence Extraction'!U11</f>
        <v>Supplies high-resolution evidence for Yamnaya formation immediately before, and expansion at the start of, the target period.</v>
      </c>
      <c r="Q3" s="3" t="str">
        <f>'[1]Evidence Extraction'!B11</f>
        <v>9DJYHJ7E</v>
      </c>
      <c r="R3" s="3" t="str">
        <f>"Evidence Extraction row 11; "&amp;'[1]Evidence Extraction'!W11</f>
        <v>Evidence Extraction row 11; pp. 1–4 and Discussion</v>
      </c>
    </row>
    <row r="4" spans="1:18" ht="114" x14ac:dyDescent="0.2">
      <c r="A4" s="2" t="str">
        <f>'[1]Evidence Extraction'!A3</f>
        <v>Chintalapati et al. (2022)</v>
      </c>
      <c r="B4" s="2" t="s">
        <v>22</v>
      </c>
      <c r="C4" s="2" t="s">
        <v>23</v>
      </c>
      <c r="D4" s="3" t="str">
        <f>'[1]Evidence Extraction'!D3</f>
        <v>Europe and western Asia; 16 regional groupings</v>
      </c>
      <c r="E4" s="3" t="str">
        <f>'[1]Evidence Extraction'!F3&amp;" | "&amp;'[1]Evidence Extraction'!G3</f>
        <v>~8000–350 BCE | Approximately 1,100 published ancient individuals</v>
      </c>
      <c r="F4" s="3" t="str">
        <f>'[1]Evidence Extraction'!H3</f>
        <v>DATES ancestry-covariance dating; ancestry source modelling; regional meta-analysis</v>
      </c>
      <c r="G4" s="3" t="str">
        <f>'[1]Evidence Extraction'!I3</f>
        <v>Admixture-date estimates reconstruct the formation and spread of Steppe pastoralist ancestry; estimated Yamnaya/Afanasievo genetic formation precedes their archaeological appearance by more than a millennium.</v>
      </c>
      <c r="H4" s="3" t="s">
        <v>24</v>
      </c>
      <c r="I4" s="3" t="str">
        <f>'[1]Evidence Extraction'!L3</f>
        <v>Multi-stage westward and eastward dispersal of Steppe ancestry</v>
      </c>
      <c r="J4" s="3" t="str">
        <f>'[1]Evidence Extraction'!E3</f>
        <v>Mesolithic, Neolithic, Steppe pastoralist, Yamnaya/Afanasievo-related and later European populations</v>
      </c>
      <c r="K4" s="3" t="str">
        <f>'[1]Evidence Extraction'!M3</f>
        <v>Formation before the Yamnaya horizon; major dispersals around and after ~3000 BCE</v>
      </c>
      <c r="L4" s="3" t="str">
        <f>'[1]Evidence Extraction'!P3</f>
        <v>EXPLICIT</v>
      </c>
      <c r="M4" s="3" t="str">
        <f>'[1]Evidence Extraction'!Q3</f>
        <v>The demographic chronology is presented as relevant to competing models of Indo-European dispersal; DNA does not identify the language spoken.</v>
      </c>
      <c r="N4" s="3" t="str">
        <f>'[1]Evidence Extraction'!O3</f>
        <v>The authors interpret the dated admixture patterns as a reconstruction of major Holocene migrations.</v>
      </c>
      <c r="O4" s="3" t="str">
        <f>'[1]Evidence Extraction'!S3&amp;" | "&amp;'[1]Evidence Extraction'!T3</f>
        <v>Very broad spatial and temporal coverage; regional sampling density is uneven and much evidence lies outside 3300–2600 BCE. | DATES approximates pulse admixture; multiple pulses can yield intermediate dates, closely related sources are difficult to separate and low ancestry proportions are uncertain.</v>
      </c>
      <c r="P4" s="3" t="str">
        <f>'[1]Evidence Extraction'!U3</f>
        <v>Provides a comparative chronology for Steppe-related ancestry formation and its westward/eastward spread.</v>
      </c>
      <c r="Q4" s="3" t="str">
        <f>'[1]Evidence Extraction'!B3</f>
        <v>EIBGSQF3</v>
      </c>
      <c r="R4" s="3" t="str">
        <f>"Evidence Extraction row 3; "&amp;'[1]Evidence Extraction'!W3</f>
        <v>Evidence Extraction row 3; pp. 1–6 and regional-results sections</v>
      </c>
    </row>
    <row r="5" spans="1:18" ht="95" x14ac:dyDescent="0.2">
      <c r="A5" s="2" t="str">
        <f>'[1]Evidence Extraction'!A13</f>
        <v>Mathieson et al. (2018)</v>
      </c>
      <c r="B5" s="2" t="s">
        <v>25</v>
      </c>
      <c r="C5" s="2" t="s">
        <v>26</v>
      </c>
      <c r="D5" s="3" t="str">
        <f>'[1]Evidence Extraction'!D13</f>
        <v>Balkan Peninsula, Carpathian Basin, North Pontic Steppe and surrounding southeastern Europe</v>
      </c>
      <c r="E5" s="3" t="str">
        <f>'[1]Evidence Extraction'!F13&amp;" | "&amp;'[1]Evidence Extraction'!G13</f>
        <v>~12,000–500 BCE; relevant Steppe contacts extend into the fourth and third millennia BCE | 225 ancient individuals (215 newly reported); 216 retained for population analysis after exclusions</v>
      </c>
      <c r="F5" s="3" t="str">
        <f>'[1]Evidence Extraction'!H13</f>
        <v>1.24-million-SNP capture; PCA; supervised/unsupervised ADMIXTURE; D-statistics; qpAdm; qpGraph; 137 new radiocarbon dates</v>
      </c>
      <c r="G5" s="3" t="str">
        <f>'[1]Evidence Extraction'!I13</f>
        <v>Intermittent genetic contact between southeastern Europe and Steppe populations occurred up to ~2,000 years before the large Steppe migrations; the dataset also documents early stages of Steppe ancestry formation and later ancestry replacement.</v>
      </c>
      <c r="H5" s="3" t="s">
        <v>27</v>
      </c>
      <c r="I5" s="3" t="str">
        <f>'[1]Evidence Extraction'!L13</f>
        <v>Repeated east–west contact preceding larger third-millennium migration</v>
      </c>
      <c r="J5" s="3" t="str">
        <f>'[1]Evidence Extraction'!E13</f>
        <v>Hunter-gatherers, Neolithic farmers, Eneolithic groups and Yamnaya-related Steppe populations</v>
      </c>
      <c r="K5" s="3" t="str">
        <f>'[1]Evidence Extraction'!M13</f>
        <v>Early contacts before 4000 BCE; major later movements around and after 3000 BCE</v>
      </c>
      <c r="L5" s="3" t="str">
        <f>'[1]Evidence Extraction'!P13</f>
        <v>INDIRECT</v>
      </c>
      <c r="M5" s="3" t="str">
        <f>'[1]Evidence Extraction'!Q13</f>
        <v>The study supplies demographic context relevant to language-spread models but does not make language an empirical outcome.</v>
      </c>
      <c r="N5" s="3" t="str">
        <f>'[1]Evidence Extraction'!O13</f>
        <v>The authors interpret southeastern Europe as a long-term east–west nexus rather than a corridor activated only by the Yamnaya expansion.</v>
      </c>
      <c r="O5" s="3" t="str">
        <f>'[1]Evidence Extraction'!S13&amp;" | "&amp;'[1]Evidence Extraction'!T13</f>
        <v>Chronology is extremely broad and much evidence predates or postdates 3300–2600 BCE; relevant subsets must be isolated. | Uneven preservation and coverage, thresholds for analysed individuals and proxy-based ancestry models constrain fine-scale conclusions.</v>
      </c>
      <c r="P5" s="3" t="str">
        <f>'[1]Evidence Extraction'!U13</f>
        <v>Shows that Yamnaya-era movement emerged from a longer history of Steppe–southeastern European contact.</v>
      </c>
      <c r="Q5" s="3" t="str">
        <f>'[1]Evidence Extraction'!B13</f>
        <v>TTSVUEKS</v>
      </c>
      <c r="R5" s="3" t="str">
        <f>"Evidence Extraction row 13; "&amp;'[1]Evidence Extraction'!W13</f>
        <v>Evidence Extraction row 13; pp. 1–4 and Steppe-contact sections</v>
      </c>
    </row>
    <row r="6" spans="1:18" ht="95" x14ac:dyDescent="0.2">
      <c r="A6" s="2" t="str">
        <f>'[1]Evidence Extraction'!A16</f>
        <v>Haak et al. (2015)</v>
      </c>
      <c r="B6" s="2" t="s">
        <v>28</v>
      </c>
      <c r="C6" s="2" t="s">
        <v>19</v>
      </c>
      <c r="D6" s="3" t="str">
        <f>'[1]Evidence Extraction'!D16</f>
        <v>Central and northern Europe with Yamnaya samples from Samara</v>
      </c>
      <c r="E6" s="3" t="str">
        <f>'[1]Evidence Extraction'!F16&amp;" | "&amp;'[1]Evidence Extraction'!G16</f>
        <v>Mainly ~6000–1000 BCE; key Yamnaya/Corded Ware comparison ~3300–2500 BCE | 69 newly analysed ancient Europeans (94 libraries); combined analysis includes 25 previously published ancient individuals</v>
      </c>
      <c r="F6" s="3" t="str">
        <f>'[1]Evidence Extraction'!H16</f>
        <v>390,000-SNP capture; PCA; ADMIXTURE; f3/f4 statistics; ancestry modelling; mtDNA and Y haplogroups</v>
      </c>
      <c r="G6" s="3" t="str">
        <f>'[1]Evidence Extraction'!I16</f>
        <v>German Corded Ware individuals derive roughly three-quarters of their ancestry from a Yamnaya-related source, indicating a rapid and large population influx from the eastern Steppe around the early third millennium BCE.</v>
      </c>
      <c r="H6" s="3" t="s">
        <v>29</v>
      </c>
      <c r="I6" s="3" t="str">
        <f>'[1]Evidence Extraction'!L16</f>
        <v>Rapid westward migration and admixture with local Neolithic populations</v>
      </c>
      <c r="J6" s="3" t="str">
        <f>'[1]Evidence Extraction'!E16</f>
        <v>Yamnaya, Corded Ware, Late Neolithic/Early Bronze Age Europeans and earlier farmers/hunter-gatherers</v>
      </c>
      <c r="K6" s="3" t="str">
        <f>'[1]Evidence Extraction'!M16</f>
        <v>Approximately 3000–2500 BCE</v>
      </c>
      <c r="L6" s="3" t="str">
        <f>'[1]Evidence Extraction'!P16</f>
        <v>EXPLICIT</v>
      </c>
      <c r="M6" s="3" t="str">
        <f>'[1]Evidence Extraction'!Q16</f>
        <v>The demographic migration is presented as supporting a Steppe-origin model for at least some Indo-European languages; the paper explicitly notes that ancient DNA is silent on language itself.</v>
      </c>
      <c r="N6" s="3" t="str">
        <f>'[1]Evidence Extraction'!O16</f>
        <v>The authors interpret the ancestry shift as evidence for a major migration from the Steppe into central Europe.</v>
      </c>
      <c r="O6" s="3" t="str">
        <f>'[1]Evidence Extraction'!S16&amp;" | "&amp;'[1]Evidence Extraction'!T16</f>
        <v>Samara Yamnaya may not be the direct source population; southern-European and Asian language histories are not resolved. | Small group sizes, uneven coverage and proxy-source choice limit exact route and ancestry estimates.</v>
      </c>
      <c r="P6" s="3" t="str">
        <f>'[1]Evidence Extraction'!U16</f>
        <v>Foundational evidence for large-scale westward Steppe migration and a carefully qualified demographic–linguistic interpretation.</v>
      </c>
      <c r="Q6" s="3" t="str">
        <f>'[1]Evidence Extraction'!B16</f>
        <v>6ZNHJTYH</v>
      </c>
      <c r="R6" s="3" t="str">
        <f>"Evidence Extraction row 16; "&amp;'[1]Evidence Extraction'!W16</f>
        <v>Evidence Extraction row 16; pp. 1–4</v>
      </c>
    </row>
    <row r="7" spans="1:18" ht="95" x14ac:dyDescent="0.2">
      <c r="A7" s="2" t="str">
        <f>'[1]Evidence Extraction'!A15</f>
        <v>Allentoft et al. (2015)</v>
      </c>
      <c r="B7" s="2" t="s">
        <v>30</v>
      </c>
      <c r="C7" s="2" t="s">
        <v>19</v>
      </c>
      <c r="D7" s="3" t="str">
        <f>'[1]Evidence Extraction'!D15</f>
        <v>Europe and central Asia</v>
      </c>
      <c r="E7" s="3" t="str">
        <f>'[1]Evidence Extraction'!F15&amp;" | "&amp;'[1]Evidence Extraction'!G15</f>
        <v>Broadly ~3000–1000 BCE, with relevant early Bronze Age samples | 101 low-coverage ancient Eurasian genomes; 19 exceed 1× average coverage</v>
      </c>
      <c r="F7" s="3" t="str">
        <f>'[1]Evidence Extraction'!H15</f>
        <v>Low-coverage whole-genome sequencing; PCA; ADMIXTURE; f-statistics; genomic-distance and haplogroup analysis</v>
      </c>
      <c r="G7" s="3" t="str">
        <f>'[1]Evidence Extraction'!I15</f>
        <v>Corded Ware groups show substantial Yamnaya-related ancestry, while Afanasievo individuals in the Altai are genetically close to Yamnaya, documenting both westward and eastward Steppe-associated dispersals.</v>
      </c>
      <c r="H7" s="3" t="s">
        <v>31</v>
      </c>
      <c r="I7" s="3" t="str">
        <f>'[1]Evidence Extraction'!L15</f>
        <v>Large-scale bidirectional expansion followed by mixture and regional replacement</v>
      </c>
      <c r="J7" s="3" t="str">
        <f>'[1]Evidence Extraction'!E15</f>
        <v>Yamnaya, Corded Ware, Afanasievo and other Bronze Age Eurasian groups</v>
      </c>
      <c r="K7" s="3" t="str">
        <f>'[1]Evidence Extraction'!M15</f>
        <v>Early third millennium BCE and later Bronze Age consequences</v>
      </c>
      <c r="L7" s="3" t="str">
        <f>'[1]Evidence Extraction'!P15</f>
        <v>EXPLICIT</v>
      </c>
      <c r="M7" s="3" t="str">
        <f>'[1]Evidence Extraction'!Q15</f>
        <v>The demographic findings are described as consistent with a hypothesized Early Bronze Age spread of Indo-European languages, not as proof of speech.</v>
      </c>
      <c r="N7" s="3" t="str">
        <f>'[1]Evidence Extraction'!O15</f>
        <v>The authors interpret the genomic transformations as large-scale migrations that reshaped Bronze Age Eurasia.</v>
      </c>
      <c r="O7" s="3" t="str">
        <f>'[1]Evidence Extraction'!S15&amp;" | "&amp;'[1]Evidence Extraction'!T15</f>
        <v>Eurasia-wide scope and broad chronology reduce fine regional resolution; several archaeological groups have few individuals. | Low and uneven genome coverage; source populations are proxies and cultural labels may encompass heterogeneous populations.</v>
      </c>
      <c r="P7" s="3" t="str">
        <f>'[1]Evidence Extraction'!U15</f>
        <v>Foundational evidence for both westward Corded Ware-related and eastward Afanasievo-related dispersals.</v>
      </c>
      <c r="Q7" s="3" t="str">
        <f>'[1]Evidence Extraction'!B15</f>
        <v>B2PLN5IB</v>
      </c>
      <c r="R7" s="3" t="str">
        <f>"Evidence Extraction row 15; "&amp;'[1]Evidence Extraction'!W15</f>
        <v>Evidence Extraction row 15; pp. 1–5</v>
      </c>
    </row>
    <row r="8" spans="1:18" ht="95" x14ac:dyDescent="0.2">
      <c r="A8" s="2" t="str">
        <f>'[1]Evidence Extraction'!A8</f>
        <v>Ringbauer et al. (2024)</v>
      </c>
      <c r="B8" s="2" t="s">
        <v>28</v>
      </c>
      <c r="C8" s="2" t="s">
        <v>19</v>
      </c>
      <c r="D8" s="3" t="str">
        <f>'[1]Evidence Extraction'!D8</f>
        <v>Eurasia, with a focused Corded Ware–Yamnaya analysis</v>
      </c>
      <c r="E8" s="3" t="str">
        <f>'[1]Evidence Extraction'!F8&amp;" | "&amp;'[1]Evidence Extraction'!G8</f>
        <v>Broad ancient dataset; relevant Corded Ware interval ~3000–2400 BCE | 4,248 ancient Eurasian individuals</v>
      </c>
      <c r="F8" s="3" t="str">
        <f>'[1]Evidence Extraction'!H8</f>
        <v>ancIBD hidden Markov model; GLIMPSE imputation/phasing; identity-by-descent segment analysis</v>
      </c>
      <c r="G8" s="3" t="str">
        <f>'[1]Evidence Extraction'!I8</f>
        <v>Corded Ware groups share long IBD segments, including segments up to 20 cM, with multiple Yamnaya groups; most Corded Ware ancestry has genealogical links to Yamnaya within at most a few hundred years, alongside a substantial GAC-related component.</v>
      </c>
      <c r="H8" s="3" t="s">
        <v>32</v>
      </c>
      <c r="I8" s="3" t="str">
        <f>'[1]Evidence Extraction'!L8</f>
        <v>Rapid, connected westward/northward dispersal followed by admixture</v>
      </c>
      <c r="J8" s="3" t="str">
        <f>'[1]Evidence Extraction'!E8</f>
        <v>Yamnaya, Corded Ware, Globular Amphora and other Eneolithic/Bronze Age groups</v>
      </c>
      <c r="K8" s="3" t="str">
        <f>'[1]Evidence Extraction'!M8</f>
        <v>Gene flow beginning around 3000 BCE; relationships span only a few hundred years</v>
      </c>
      <c r="L8" s="3" t="str">
        <f>'[1]Evidence Extraction'!P8</f>
        <v>INDIRECT</v>
      </c>
      <c r="M8" s="3" t="str">
        <f>'[1]Evidence Extraction'!Q8</f>
        <v>The study provides a demographic mechanism relevant to language spread but makes no independent claim about which language sampled people spoke.</v>
      </c>
      <c r="N8" s="3" t="str">
        <f>'[1]Evidence Extraction'!O8</f>
        <v>The authors interpret long IBD sharing as inconsistent with a remote unsampled Steppe-like source separated from Yamnaya by about a millennium.</v>
      </c>
      <c r="O8" s="3" t="str">
        <f>'[1]Evidence Extraction'!S8&amp;" | "&amp;'[1]Evidence Extraction'!T8</f>
        <v>Results depend on which ancient individuals pass coverage thresholds and on uneven archaeological sampling. | Reliable detection is mainly for segments &gt;8 cM and adequate coverage; SNP density, low coverage, imputation and false positives limit shorter-segment inference.</v>
      </c>
      <c r="P8" s="3" t="str">
        <f>'[1]Evidence Extraction'!U8</f>
        <v>Strengthens the immediate genealogical connection between Yamnaya and diverse Corded Ware populations.</v>
      </c>
      <c r="Q8" s="3" t="str">
        <f>'[1]Evidence Extraction'!B8</f>
        <v>MVP4P8Z2</v>
      </c>
      <c r="R8" s="3" t="str">
        <f>"Evidence Extraction row 8; "&amp;'[1]Evidence Extraction'!W8</f>
        <v>Evidence Extraction row 8; pp. 1, 5, 7–8</v>
      </c>
    </row>
    <row r="9" spans="1:18" ht="95" x14ac:dyDescent="0.2">
      <c r="A9" s="2" t="str">
        <f>'[1]Evidence Extraction'!A12</f>
        <v>Papac et al. (2021)</v>
      </c>
      <c r="B9" s="2" t="s">
        <v>33</v>
      </c>
      <c r="C9" s="2" t="s">
        <v>34</v>
      </c>
      <c r="D9" s="3" t="str">
        <f>'[1]Evidence Extraction'!D12</f>
        <v>Bohemia, central Europe</v>
      </c>
      <c r="E9" s="3" t="str">
        <f>'[1]Evidence Extraction'!F12&amp;" | "&amp;'[1]Evidence Extraction'!G12</f>
        <v>~4900–1600 BCE; key evidence ~2900–2400 BCE | 271 ancient human genomes</v>
      </c>
      <c r="F9" s="3" t="str">
        <f>'[1]Evidence Extraction'!H12</f>
        <v>Genome-wide ancient DNA; PCA; f-statistics/qpAdm; haplogroups; kinship and temporal population modelling</v>
      </c>
      <c r="G9" s="3" t="str">
        <f>'[1]Evidence Extraction'!I12</f>
        <v>Corded Ware appears by ~2900 BCE with high but heterogeneous Steppe ancestry not wholly derived from sampled Yamnaya; diverse females were assimilated, followed by sharp Y-chromosome changes around 2600 and 2400 BCE and later ≥40% turnover.</v>
      </c>
      <c r="H9" s="3" t="s">
        <v>35</v>
      </c>
      <c r="I9" s="3" t="str">
        <f>'[1]Evidence Extraction'!L12</f>
        <v>Westward arrival followed by local assimilation and repeated social/genetic reorganization</v>
      </c>
      <c r="J9" s="3" t="str">
        <f>'[1]Evidence Extraction'!E12</f>
        <v>Pre-Corded Ware groups, Corded Ware, Bell Beaker and Únětice populations</v>
      </c>
      <c r="K9" s="3" t="str">
        <f>'[1]Evidence Extraction'!M12</f>
        <v>~2900 BCE arrival; transformations around 2600 and 2400 BCE; later Bronze Age turnover</v>
      </c>
      <c r="L9" s="3" t="str">
        <f>'[1]Evidence Extraction'!P12</f>
        <v>INDIRECT</v>
      </c>
      <c r="M9" s="3" t="str">
        <f>'[1]Evidence Extraction'!Q12</f>
        <v>The population movements could carry language, but the study does not independently determine linguistic identity.</v>
      </c>
      <c r="N9" s="3" t="str">
        <f>'[1]Evidence Extraction'!O12</f>
        <v>The authors interpret the Bohemian transect as evidence for multiple migrations and changing social structures, not a single homogeneous replacement.</v>
      </c>
      <c r="O9" s="3" t="str">
        <f>'[1]Evidence Extraction'!S12&amp;" | "&amp;'[1]Evidence Extraction'!T12</f>
        <v>One central-European region; later 2400 BCE and Bronze Age evidence lies outside the primary 3300–2600 BCE interval. | Archaeological culture labels may not represent unified social entities; source populations remain partly unsampled and ancestry models are proxy-dependent.</v>
      </c>
      <c r="P9" s="3" t="str">
        <f>'[1]Evidence Extraction'!U12</f>
        <v>Provides a regional time transect that qualifies simple mass-replacement and single-source accounts.</v>
      </c>
      <c r="Q9" s="3" t="str">
        <f>'[1]Evidence Extraction'!B12</f>
        <v>U92TYDRN</v>
      </c>
      <c r="R9" s="3" t="str">
        <f>"Evidence Extraction row 12; "&amp;'[1]Evidence Extraction'!W12</f>
        <v>Evidence Extraction row 12; pp. 1–6</v>
      </c>
    </row>
    <row r="10" spans="1:18" ht="95" x14ac:dyDescent="0.2">
      <c r="A10" s="2" t="str">
        <f>'[1]Evidence Extraction'!A6</f>
        <v>Linderholm et al. (2020)</v>
      </c>
      <c r="B10" s="2" t="s">
        <v>36</v>
      </c>
      <c r="C10" s="2" t="s">
        <v>34</v>
      </c>
      <c r="D10" s="3" t="str">
        <f>'[1]Evidence Extraction'!D6</f>
        <v>Southeastern Poland: Rzeszów Foothills, Małopolska Upland and Sokal Ridge</v>
      </c>
      <c r="E10" s="3" t="str">
        <f>'[1]Evidence Extraction'!F6&amp;" | "&amp;'[1]Evidence Extraction'!G6</f>
        <v>Late third millennium BCE; individual radiocarbon dates reported | 19 genomes obtained from 53 sampled individuals (16 Corded Ware, 3 Bell Beaker); strontium for 16 individuals</v>
      </c>
      <c r="F10" s="3" t="str">
        <f>'[1]Evidence Extraction'!H6</f>
        <v>Whole-genome sequencing; PCA and ancestry analysis; mtDNA/Y haplogroups; kinship; strontium isotopes; radiocarbon dating</v>
      </c>
      <c r="G10" s="3" t="str">
        <f>'[1]Evidence Extraction'!I6</f>
        <v>Corded Ware individuals combine predominantly Steppe-associated paternal ancestry with maternal lineages linked to earlier Neolithic populations; three kin relationships include a local/non-local pair.</v>
      </c>
      <c r="H10" s="3" t="s">
        <v>37</v>
      </c>
      <c r="I10" s="3" t="str">
        <f>'[1]Evidence Extraction'!L6</f>
        <v>Westward ancestry movement followed by local admixture and community-level mobility</v>
      </c>
      <c r="J10" s="3" t="str">
        <f>'[1]Evidence Extraction'!E6</f>
        <v>Corded Ware and Bell Beaker individuals; Neolithic local and Steppe-related ancestry components</v>
      </c>
      <c r="K10" s="3" t="str">
        <f>'[1]Evidence Extraction'!M6</f>
        <v>Corded Ware dominance after ~2800 BCE; sampled burials lie in the later third millennium BCE</v>
      </c>
      <c r="L10" s="3" t="str">
        <f>'[1]Evidence Extraction'!P6</f>
        <v>INDIRECT</v>
      </c>
      <c r="M10" s="3" t="str">
        <f>'[1]Evidence Extraction'!Q6</f>
        <v>Linguistic change is mentioned as part of the broader third-millennium transition; no independent language analysis is performed.</v>
      </c>
      <c r="N10" s="3" t="str">
        <f>'[1]Evidence Extraction'!O6</f>
        <v>The authors interpret the combined evidence as a complex, regionally specific Corded Ware community rather than a homogeneous migrant population.</v>
      </c>
      <c r="O10" s="3" t="str">
        <f>'[1]Evidence Extraction'!S6&amp;" | "&amp;'[1]Evidence Extraction'!T6</f>
        <v>A single regional transect in southeastern Poland cannot represent all Corded Ware populations. | Small sample size and uneven genome coverage (~0.02× to 5.47×); isotope baselines and cultural labels constrain mobility interpretation.</v>
      </c>
      <c r="P10" s="3" t="str">
        <f>'[1]Evidence Extraction'!U6</f>
        <v>Adds fine-scale evidence for sex-biased ancestry, local admixture and mobility within a Corded Ware community.</v>
      </c>
      <c r="Q10" s="3" t="str">
        <f>'[1]Evidence Extraction'!B6</f>
        <v>Z6RYK2BV</v>
      </c>
      <c r="R10" s="3" t="str">
        <f>"Evidence Extraction row 6; "&amp;'[1]Evidence Extraction'!W6</f>
        <v>Evidence Extraction row 6; pp. 1–4 and Results/Discussion</v>
      </c>
    </row>
    <row r="11" spans="1:18" ht="95" x14ac:dyDescent="0.2">
      <c r="A11" s="2" t="str">
        <f>'[1]Evidence Extraction'!A5</f>
        <v>Scorrano et al. (2021)</v>
      </c>
      <c r="B11" s="2" t="s">
        <v>38</v>
      </c>
      <c r="C11" s="2" t="s">
        <v>34</v>
      </c>
      <c r="D11" s="3" t="str">
        <f>'[1]Evidence Extraction'!D5</f>
        <v>Central, eastern, western and southern Europe</v>
      </c>
      <c r="E11" s="3" t="str">
        <f>'[1]Evidence Extraction'!F5&amp;" | "&amp;'[1]Evidence Extraction'!G5</f>
        <v>Late Neolithic to Bronze Age, focused on the third millennium BCE | Published genome-wide and uniparental datasets; mtDNA phylogeny includes 695 samples; analysis-specific sample sizes vary</v>
      </c>
      <c r="F11" s="3" t="str">
        <f>'[1]Evidence Extraction'!H5</f>
        <v>PCA; qpAdm; outgroup f3; mtDNA and Y-chromosome analysis; autosome-versus-X ancestry comparison</v>
      </c>
      <c r="G11" s="3" t="str">
        <f>'[1]Evidence Extraction'!I5</f>
        <v>Steppe-related ancestry is highest in several Corded Ware groups and is more strongly male-biased there than in Bell Beaker groups; no comparable significant Steppe input is detected in the pooled mitochondrial gene pool.</v>
      </c>
      <c r="H11" s="3" t="s">
        <v>39</v>
      </c>
      <c r="I11" s="3" t="str">
        <f>'[1]Evidence Extraction'!L5</f>
        <v>Westward, sex-biased ancestry dispersal followed by regionally variable admixture</v>
      </c>
      <c r="J11" s="3" t="str">
        <f>'[1]Evidence Extraction'!E5</f>
        <v>Yamnaya proxies; Corded Ware; Bell Beaker; Neolithic and Bronze Age Europeans</v>
      </c>
      <c r="K11" s="3" t="str">
        <f>'[1]Evidence Extraction'!M5</f>
        <v>Mainly early to middle third millennium BCE</v>
      </c>
      <c r="L11" s="3" t="str">
        <f>'[1]Evidence Extraction'!P5</f>
        <v>INDIRECT</v>
      </c>
      <c r="M11" s="3" t="str">
        <f>'[1]Evidence Extraction'!Q5</f>
        <v>The discussion treats Steppe ancestry as compatible with the spread of some Indo-European languages but also notes counterexamples; language is not measured.</v>
      </c>
      <c r="N11" s="3" t="str">
        <f>'[1]Evidence Extraction'!O5</f>
        <v>The authors interpret the autosomal, X-chromosomal and uniparental differences as predominantly male-driven migration, especially into Corded Ware groups.</v>
      </c>
      <c r="O11" s="3" t="str">
        <f>'[1]Evidence Extraction'!S5&amp;" | "&amp;'[1]Evidence Extraction'!T5</f>
        <v>Coverage is strongest for central/eastern Europe and varies sharply by regional archaeological group. | Published-data reanalysis; low X-chromosome SNP counts and large standard deviations require caution; Yamnaya Y lineages are an imperfect male-source proxy.</v>
      </c>
      <c r="P11" s="3" t="str">
        <f>'[1]Evidence Extraction'!U5</f>
        <v>Provides a focused test of sex-biased migration and cautions against assuming the same demographic process across all of Europe.</v>
      </c>
      <c r="Q11" s="3" t="str">
        <f>'[1]Evidence Extraction'!B5</f>
        <v>24A5ALRY</v>
      </c>
      <c r="R11" s="3" t="str">
        <f>"Evidence Extraction row 5; "&amp;'[1]Evidence Extraction'!W5</f>
        <v>Evidence Extraction row 5; pp. 1–3, 7–9</v>
      </c>
    </row>
    <row r="12" spans="1:18" ht="95" x14ac:dyDescent="0.2">
      <c r="A12" s="2" t="str">
        <f>'[1]Evidence Extraction'!A14</f>
        <v>Olalde et al. (2018)</v>
      </c>
      <c r="B12" s="2" t="s">
        <v>40</v>
      </c>
      <c r="C12" s="2" t="s">
        <v>41</v>
      </c>
      <c r="D12" s="3" t="str">
        <f>'[1]Evidence Extraction'!D14</f>
        <v>Western and central Europe, especially Iberia, central Europe and Britain</v>
      </c>
      <c r="E12" s="3" t="str">
        <f>'[1]Evidence Extraction'!F14&amp;" | "&amp;'[1]Evidence Extraction'!G14</f>
        <v>~4700–800 BCE; key Beaker interval ~2750–2200 BCE | 400 ancient Europeans from 136 sites, including 226 Beaker-associated individuals; combined analysis dataset 683 ancient samples</v>
      </c>
      <c r="F12" s="3" t="str">
        <f>'[1]Evidence Extraction'!H14</f>
        <v>1.23-million-SNP capture; PCA; f-statistics/qpAdm; Y-chromosome analysis; 111 direct radiocarbon dates</v>
      </c>
      <c r="G12" s="3" t="str">
        <f>'[1]Evidence Extraction'!I14</f>
        <v>Iberian and central-European Beaker groups show limited genetic affinity, but Beaker-associated migration carried high Steppe-related ancestry into Britain and replaced about 90% of its gene pool within a few hundred years.</v>
      </c>
      <c r="H12" s="3" t="s">
        <v>42</v>
      </c>
      <c r="I12" s="3" t="str">
        <f>'[1]Evidence Extraction'!L14</f>
        <v>Continued east-to-west dispersal with regionally different balances of cultural diffusion and migration</v>
      </c>
      <c r="J12" s="3" t="str">
        <f>'[1]Evidence Extraction'!E14</f>
        <v>Bell Beaker-associated individuals, Corded Ware-related Steppe ancestry and local Neolithic populations</v>
      </c>
      <c r="K12" s="3" t="str">
        <f>'[1]Evidence Extraction'!M14</f>
        <v>From ~2750/2500 BCE, mainly after the primary Yamnaya interval</v>
      </c>
      <c r="L12" s="3" t="str">
        <f>'[1]Evidence Extraction'!P14</f>
        <v>INDIRECT</v>
      </c>
      <c r="M12" s="3" t="str">
        <f>'[1]Evidence Extraction'!Q14</f>
        <v>The study demonstrates a later demographic mechanism that could transmit language but makes no independent language identification.</v>
      </c>
      <c r="N12" s="3" t="str">
        <f>'[1]Evidence Extraction'!O14</f>
        <v>The authors interpret the Beaker phenomenon as heterogeneous: cultural transmission between some regions and mass migration into others.</v>
      </c>
      <c r="O12" s="3" t="str">
        <f>'[1]Evidence Extraction'!S14&amp;" | "&amp;'[1]Evidence Extraction'!T14</f>
        <v>Most decisive British evidence postdates 2600 BCE and represents consequences of earlier Steppe dispersal, not core Yamnaya movement. | Regional sample imbalance and proxy ancestry sources limit exact origins; shared artefacts cannot be equated with shared population identity.</v>
      </c>
      <c r="P12" s="3" t="str">
        <f>'[1]Evidence Extraction'!U14</f>
        <v>Provides a strong later consequence and a clear demonstration that material-culture spread can be demic in one region and cultural in another.</v>
      </c>
      <c r="Q12" s="3" t="str">
        <f>'[1]Evidence Extraction'!B14</f>
        <v>2PL38PG4</v>
      </c>
      <c r="R12" s="3" t="str">
        <f>"Evidence Extraction row 14; "&amp;'[1]Evidence Extraction'!W14</f>
        <v>Evidence Extraction row 14; pp. 1–5</v>
      </c>
    </row>
    <row r="13" spans="1:18" ht="95" x14ac:dyDescent="0.2">
      <c r="A13" s="2" t="str">
        <f>'[1]Evidence Extraction'!A7</f>
        <v>Tassi et al. (2017)</v>
      </c>
      <c r="B13" s="2" t="s">
        <v>43</v>
      </c>
      <c r="C13" s="2" t="s">
        <v>44</v>
      </c>
      <c r="D13" s="3" t="str">
        <f>'[1]Evidence Extraction'!D7</f>
        <v>Kierzkowo, northwestern Poland; central European comparison</v>
      </c>
      <c r="E13" s="3" t="str">
        <f>'[1]Evidence Extraction'!F7&amp;" | "&amp;'[1]Evidence Extraction'!G7</f>
        <v>GAC context before the main Steppe expansion, approximately 3400/3100–2800 BCE | Six individuals with nuclear data at 597,573 SNPs and 11 complete Neolithic mitochondrial sequences</v>
      </c>
      <c r="F13" s="3" t="str">
        <f>'[1]Evidence Extraction'!H7</f>
        <v>Genome-wide comparison; PCA and allele-sharing statistics; mitochondrial analysis; approximate Bayesian computation of alternative demographic models</v>
      </c>
      <c r="G13" s="3" t="str">
        <f>'[1]Evidence Extraction'!I7</f>
        <v>Sampled GAC individuals are closer to earlier Neolithic groups than to populations related to Pontic-Steppe migration and lack the expected Yamnaya-derived profile.</v>
      </c>
      <c r="H13" s="3" t="s">
        <v>45</v>
      </c>
      <c r="I13" s="3" t="str">
        <f>'[1]Evidence Extraction'!L7</f>
        <v>Local genetic continuity with eastern cultural influence, before later Steppe gene flow</v>
      </c>
      <c r="J13" s="3" t="str">
        <f>'[1]Evidence Extraction'!E7</f>
        <v>Globular Amphorae culture, earlier Neolithic farmers, Yamnaya/Steppe-related groups and Corded Ware</v>
      </c>
      <c r="K13" s="3" t="str">
        <f>'[1]Evidence Extraction'!M7</f>
        <v>Immediately before and overlapping the start of the target period</v>
      </c>
      <c r="L13" s="3" t="str">
        <f>'[1]Evidence Extraction'!P7</f>
        <v>EXPLICIT</v>
      </c>
      <c r="M13" s="3" t="str">
        <f>'[1]Evidence Extraction'!Q7</f>
        <v>The study tests demographic expectations of Steppe/Kurgan and Anatolian language-dispersal models and stresses that language change need not track migration exactly.</v>
      </c>
      <c r="N13" s="3" t="str">
        <f>'[1]Evidence Extraction'!O7</f>
        <v>The authors interpret GAC eastern archaeological affinities as cultural influence rather than movement of Steppe people.</v>
      </c>
      <c r="O13" s="3" t="str">
        <f>'[1]Evidence Extraction'!S7&amp;" | "&amp;'[1]Evidence Extraction'!T7</f>
        <v>One burial context in northwestern Poland and a small number of individuals limit geographic generalization. | Small sample; preservation and sample-selection losses; demographic conclusions depend on the compared models and reference populations.</v>
      </c>
      <c r="P13" s="3" t="str">
        <f>'[1]Evidence Extraction'!U7</f>
        <v>Provides a negative/qualifying case showing that archaeological eastern affinity need not imply Steppe migration or linguistic identity.</v>
      </c>
      <c r="Q13" s="3" t="str">
        <f>'[1]Evidence Extraction'!B7</f>
        <v>Q2Y9FLYQ</v>
      </c>
      <c r="R13" s="3" t="str">
        <f>"Evidence Extraction row 7; "&amp;'[1]Evidence Extraction'!W7</f>
        <v>Evidence Extraction row 7; pp. 1–4, 6–8</v>
      </c>
    </row>
    <row r="14" spans="1:18" ht="114" x14ac:dyDescent="0.2">
      <c r="A14" s="2" t="str">
        <f>'[1]Evidence Extraction'!A4</f>
        <v>Wang et al. (2021)</v>
      </c>
      <c r="B14" s="2" t="s">
        <v>46</v>
      </c>
      <c r="C14" s="2" t="s">
        <v>19</v>
      </c>
      <c r="D14" s="3" t="str">
        <f>'[1]Evidence Extraction'!D4</f>
        <v>Mongolia, northern China, Amur region and western China</v>
      </c>
      <c r="E14" s="3" t="str">
        <f>'[1]Evidence Extraction'!F4&amp;" | "&amp;'[1]Evidence Extraction'!G4</f>
        <v>~6000 BCE–AD 1000 | 166 ancient individuals and 383 present-day individuals from 46 groups</v>
      </c>
      <c r="F14" s="3" t="str">
        <f>'[1]Evidence Extraction'!H4</f>
        <v>Genome-wide capture / sequencing; PCA; qpWave; qpAdm; qpGraph; ancestry modelling</v>
      </c>
      <c r="G14" s="3" t="str">
        <f>'[1]Evidence Extraction'!I4</f>
        <v>Afanasievo is genetically very close to Yamnaya; Yamnaya/Afanasievo-related ancestry reached western Mongolia after ~3000 BCE, later declined there and persisted farther west in Xinjiang.</v>
      </c>
      <c r="H14" s="3" t="s">
        <v>47</v>
      </c>
      <c r="I14" s="3" t="str">
        <f>'[1]Evidence Extraction'!L4</f>
        <v>Eastward Steppe dispersal with later regional admixture and partial ancestry loss</v>
      </c>
      <c r="J14" s="3" t="str">
        <f>'[1]Evidence Extraction'!E4</f>
        <v>Yamnaya/Afanasievo-related groups, Chemurchek, Shirenzigou and other ancient East Asian populations</v>
      </c>
      <c r="K14" s="3" t="str">
        <f>'[1]Evidence Extraction'!M4</f>
        <v>After ~3000 BCE, with later Bronze and Iron Age continuities</v>
      </c>
      <c r="L14" s="3" t="str">
        <f>'[1]Evidence Extraction'!P4</f>
        <v>EXPLICIT</v>
      </c>
      <c r="M14" s="3" t="str">
        <f>'[1]Evidence Extraction'!Q4</f>
        <v>The authors argue that the demographic evidence adds weight to a migration-mediated spread of proto-Tocharian; this remains an interdisciplinary inference.</v>
      </c>
      <c r="N14" s="3" t="str">
        <f>'[1]Evidence Extraction'!O4</f>
        <v>The authors interpret the genetic links as evidence for movement of Yamnaya descendants into Inner Asia.</v>
      </c>
      <c r="O14" s="3" t="str">
        <f>'[1]Evidence Extraction'!S4&amp;" | "&amp;'[1]Evidence Extraction'!T4</f>
        <v>East Asian ancient-DNA sampling is uneven, with several small or singleton archaeological groups; most evidence is east of the core Yamnaya zone. | Some qpAdm models are equally plausible and closely related sources can be difficult to distinguish; cultural association does not guarantee matching ancestry.</v>
      </c>
      <c r="P14" s="3" t="str">
        <f>'[1]Evidence Extraction'!U4</f>
        <v>Supplies the principal eastward case study and an explicit, qualified Tocharian interpretation.</v>
      </c>
      <c r="Q14" s="3" t="str">
        <f>'[1]Evidence Extraction'!B4</f>
        <v>4IUR2RSU</v>
      </c>
      <c r="R14" s="3" t="str">
        <f>"Evidence Extraction row 4; "&amp;'[1]Evidence Extraction'!W4</f>
        <v>Evidence Extraction row 4; pp. 1, 4–6</v>
      </c>
    </row>
    <row r="15" spans="1:18" ht="95" x14ac:dyDescent="0.2">
      <c r="A15" s="2" t="str">
        <f>'[1]Evidence Extraction'!A9</f>
        <v>Dzhaubermezov et al. (2026)</v>
      </c>
      <c r="B15" s="2" t="s">
        <v>48</v>
      </c>
      <c r="C15" s="2" t="s">
        <v>49</v>
      </c>
      <c r="D15" s="3" t="str">
        <f>'[1]Evidence Extraction'!D9</f>
        <v>North and South Caucasus</v>
      </c>
      <c r="E15" s="3" t="str">
        <f>'[1]Evidence Extraction'!F9&amp;" | "&amp;'[1]Evidence Extraction'!G9</f>
        <v>~50,000 BCE–AD 1914; Bronze Age evidence is the relevant subset | 669 ancient individuals compiled; 565 ancient Caucasus individuals retained for PCA after quality control; modern comparators also used</v>
      </c>
      <c r="F15" s="3" t="str">
        <f>'[1]Evidence Extraction'!H9</f>
        <v>Systematic synthesis of published datasets; quality-controlled pooled reanalysis; PCA; D-statistics; relatedness screening</v>
      </c>
      <c r="G15" s="3" t="str">
        <f>'[1]Evidence Extraction'!I9</f>
        <v>The pooled data show early north–south differentiation, Bronze Age Steppe-related gene flow associated with Yamnaya and later admixture alongside substantial regional continuity.</v>
      </c>
      <c r="H15" s="3" t="s">
        <v>50</v>
      </c>
      <c r="I15" s="3" t="str">
        <f>'[1]Evidence Extraction'!L9</f>
        <v>Corridor-like, bidirectional interaction across and around the Caucasus</v>
      </c>
      <c r="J15" s="3" t="str">
        <f>'[1]Evidence Extraction'!E9</f>
        <v>Caucasus hunter-gatherers, Maykop, Yamnaya, Catacomb, Kura-Araxes and later Caucasus populations</v>
      </c>
      <c r="K15" s="3" t="str">
        <f>'[1]Evidence Extraction'!M9</f>
        <v>Long-term prehistory; Yamnaya-linked signal concentrated in the Bronze Age</v>
      </c>
      <c r="L15" s="3" t="str">
        <f>'[1]Evidence Extraction'!P9</f>
        <v>BACKGROUND</v>
      </c>
      <c r="M15" s="3" t="str">
        <f>'[1]Evidence Extraction'!Q9</f>
        <v>Proto-Indo-Anatolian and language–genetics links are largely attributed to recent cited studies rather than independently tested.</v>
      </c>
      <c r="N15" s="3" t="str">
        <f>'[1]Evidence Extraction'!O9</f>
        <v>The authors synthesize the Caucasus as both a barrier and migration corridor involved in the ancestry of Steppe pastoralist societies.</v>
      </c>
      <c r="O15" s="3" t="str">
        <f>'[1]Evidence Extraction'!S9&amp;" | "&amp;'[1]Evidence Extraction'!T9</f>
        <v>Extremely broad chronology; early North Caucasus and late historical sampling gaps; Bronze Age findings must be isolated from later continuity. | Secondary data vary in coverage, laboratory pipelines and sampling; pooled PCA is descriptive; source-study overlap risks double counting.</v>
      </c>
      <c r="P15" s="3" t="str">
        <f>'[1]Evidence Extraction'!U9</f>
        <v>Provides Caucasus corridor context and a secondary cross-study check on Steppe-related gene flow.</v>
      </c>
      <c r="Q15" s="3" t="str">
        <f>'[1]Evidence Extraction'!B9</f>
        <v>8LBVFX2C</v>
      </c>
      <c r="R15" s="3" t="str">
        <f>"Evidence Extraction row 9; "&amp;'[1]Evidence Extraction'!W9</f>
        <v>Evidence Extraction row 9; pp. 1–4 and Bronze Age/Conclusion sections</v>
      </c>
    </row>
    <row r="16" spans="1:18" ht="95" x14ac:dyDescent="0.2">
      <c r="A16" s="2" t="str">
        <f>'[1]Evidence Extraction'!A2</f>
        <v>Wong et al. (2017)</v>
      </c>
      <c r="B16" s="2" t="s">
        <v>51</v>
      </c>
      <c r="C16" s="2" t="s">
        <v>49</v>
      </c>
      <c r="D16" s="3" t="str">
        <f>'[1]Evidence Extraction'!D2</f>
        <v>Western Siberia; northeastern Europe; Urals</v>
      </c>
      <c r="E16" s="3" t="str">
        <f>'[1]Evidence Extraction'!F2&amp;" | "&amp;'[1]Evidence Extraction'!G2</f>
        <v>Modern genomes; ancient comparators include Yamnaya (~4.7–5.3 kya) | 28 high-coverage modern genomes from 14 groups, 32 additional modern genomes and 46 published ancient genomes</v>
      </c>
      <c r="F16" s="3" t="str">
        <f>'[1]Evidence Extraction'!H2</f>
        <v>High-coverage whole-genome sequencing; PCA; TreeMix; D-statistics; admixture modelling</v>
      </c>
      <c r="G16" s="3" t="str">
        <f>'[1]Evidence Extraction'!I2</f>
        <v>Western Siberian groups, especially Mansi, share excess alleles with ancient eastern Europeans including Yamnaya; western Siberian-related ancestry is also detectable in northeastern Europeans.</v>
      </c>
      <c r="H16" s="3" t="s">
        <v>52</v>
      </c>
      <c r="I16" s="3" t="str">
        <f>'[1]Evidence Extraction'!L2</f>
        <v>Westward gene flow and later contact across northern Eurasia</v>
      </c>
      <c r="J16" s="3" t="str">
        <f>'[1]Evidence Extraction'!E2</f>
        <v>Mansi, Khanty, Nenets, Selkup and other northern Eurasian groups; published Yamnaya and other ancient comparators</v>
      </c>
      <c r="K16" s="3" t="str">
        <f>'[1]Evidence Extraction'!M2</f>
        <v>Authors infer western Siberian input into northeastern Europe before the Yamnaya horizon, probably before ~6.6 kya.</v>
      </c>
      <c r="L16" s="3" t="str">
        <f>'[1]Evidence Extraction'!P2</f>
        <v>BACKGROUND</v>
      </c>
      <c r="M16" s="3" t="str">
        <f>'[1]Evidence Extraction'!Q2</f>
        <v>Late Proto-Indo-European is contextual only; the paper makes no independent linguistic inference.</v>
      </c>
      <c r="N16" s="3" t="str">
        <f>'[1]Evidence Extraction'!O2</f>
        <v>The authors reconstruct deep Siberia–Europe interaction and caution that Mansi are not descendants of Yamnaya.</v>
      </c>
      <c r="O16" s="3" t="str">
        <f>'[1]Evidence Extraction'!S2&amp;" | "&amp;'[1]Evidence Extraction'!T2</f>
        <v>Predominantly a northern Eurasian study using modern populations; target-period movement is indirect. | Ancient genomes are published comparators; direction and timing depend on population models and sparse ancient sampling.</v>
      </c>
      <c r="P16" s="3" t="str">
        <f>'[1]Evidence Extraction'!U2</f>
        <v>Adds contextual evidence that northern Eurasian gene flow pre-dated and overlapped the Yamnaya horizon, qualifying a simple one-way expansion narrative.</v>
      </c>
      <c r="Q16" s="3" t="str">
        <f>'[1]Evidence Extraction'!B2</f>
        <v>CEFW5MDT</v>
      </c>
      <c r="R16" s="3" t="str">
        <f>"Evidence Extraction row 2; "&amp;'[1]Evidence Extraction'!W2</f>
        <v>Evidence Extraction row 2; pp. 1–2, 9–12</v>
      </c>
    </row>
  </sheetData>
  <conditionalFormatting sqref="C2:C16">
    <cfRule type="containsText" dxfId="26" priority="1" operator="containsText" text="CORE"/>
    <cfRule type="containsText" dxfId="25" priority="2" operator="containsText" text="QUALIFIER"/>
    <cfRule type="containsText" dxfId="24" priority="3" operator="containsText" text="CONTEXT"/>
    <cfRule type="containsText" dxfId="23" priority="4" operator="containsText" text="CONSEQUENCE"/>
  </conditionalFormatting>
  <conditionalFormatting sqref="L2:L16">
    <cfRule type="containsText" dxfId="22" priority="5" operator="containsText" text="EXPLICIT"/>
    <cfRule type="containsText" dxfId="21" priority="6" operator="containsText" text="INDIRECT"/>
    <cfRule type="containsText" dxfId="20" priority="7" operator="containsText" text="BACKGROUND"/>
  </conditionalFormatting>
  <dataValidations count="3">
    <dataValidation type="list" sqref="L2:L16" xr:uid="{4101F5B0-6497-0D48-8E36-E801E94F16A5}">
      <formula1>"EXPLICIT,INDIRECT,BACKGROUND,NONE"</formula1>
    </dataValidation>
    <dataValidation type="list" sqref="C2:C16" xr:uid="{C0E589B0-31DD-6B4F-8BC6-F5E7B665602A}">
      <formula1>"CORE,CHRONOLOGICAL FRAMEWORK,CHRONOLOGICAL CONTEXT,REGIONAL QUALIFIER,LATER CONSEQUENCE,QUALIFYING / NEGATIVE CASE,SECONDARY CONTEXT"</formula1>
    </dataValidation>
    <dataValidation type="list" sqref="B2:B16" xr:uid="{272575BD-3E90-6241-89D8-8F34CF3D3CF2}">
      <formula1>_xlfn._LONGTEXT("Yamnaya formation and launch,Migration chronology,Pre-expansion contact,Westward expansion,Bidirectional expansion,Regional transformation,Local mobility and admixture,Sex-biased migration,Later western consequences,Culture versus migration,Eastward expan","sion,Caucasus corridor,Northern Eurasian context")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Lochana Perera (25620301)</dc:creator>
  <cp:lastModifiedBy>Lochana Perera (25620301)</cp:lastModifiedBy>
  <dcterms:created xsi:type="dcterms:W3CDTF">2026-09-03T07:42:51Z</dcterms:created>
  <dcterms:modified xsi:type="dcterms:W3CDTF">2026-09-03T07:43:19Z</dcterms:modified>
</cp:coreProperties>
</file>