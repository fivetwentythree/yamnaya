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ochana-mbp/Documents/Codex/2026-09-02/yamnaya-lit-review-do-not-research/outputs/zotero-audit/"/>
    </mc:Choice>
  </mc:AlternateContent>
  <xr:revisionPtr revIDLastSave="0" documentId="13_ncr:1_{3D2D5F97-B902-A847-8438-C3B34ADBD61C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Summary" sheetId="1" r:id="rId1"/>
    <sheet name="Inventory" sheetId="2" r:id="rId2"/>
    <sheet name="Flag Register" sheetId="3" r:id="rId3"/>
    <sheet name="Provenance" sheetId="4" r:id="rId4"/>
    <sheet name="Screening Decisions" sheetId="5" r:id="rId5"/>
    <sheet name="PRISMA Status" sheetId="6" r:id="rId6"/>
    <sheet name="Evidence Extraction" sheetId="7" r:id="rId7"/>
    <sheet name="Synthesis Table" sheetId="8" r:id="rId8"/>
    <sheet name="Synthesis Themes" sheetId="9" r:id="rId9"/>
    <sheet name="Agreements &amp; Gaps" sheetId="10" r:id="rId10"/>
    <sheet name="Argument Outlin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1" l="1"/>
  <c r="B2" i="11"/>
  <c r="F2" i="10"/>
  <c r="D2" i="10"/>
  <c r="B2" i="10"/>
  <c r="J8" i="9"/>
  <c r="J7" i="9"/>
  <c r="J6" i="9"/>
  <c r="J5" i="9"/>
  <c r="J4" i="9"/>
  <c r="J3" i="9"/>
  <c r="J2" i="9"/>
  <c r="R16" i="8"/>
  <c r="Q16" i="8"/>
  <c r="P16" i="8"/>
  <c r="O16" i="8"/>
  <c r="N16" i="8"/>
  <c r="M16" i="8"/>
  <c r="L16" i="8"/>
  <c r="K16" i="8"/>
  <c r="J16" i="8"/>
  <c r="I16" i="8"/>
  <c r="G16" i="8"/>
  <c r="F16" i="8"/>
  <c r="E16" i="8"/>
  <c r="D16" i="8"/>
  <c r="A16" i="8"/>
  <c r="R15" i="8"/>
  <c r="Q15" i="8"/>
  <c r="P15" i="8"/>
  <c r="O15" i="8"/>
  <c r="N15" i="8"/>
  <c r="M15" i="8"/>
  <c r="L15" i="8"/>
  <c r="K15" i="8"/>
  <c r="J15" i="8"/>
  <c r="I15" i="8"/>
  <c r="G15" i="8"/>
  <c r="F15" i="8"/>
  <c r="E15" i="8"/>
  <c r="D15" i="8"/>
  <c r="A15" i="8"/>
  <c r="R14" i="8"/>
  <c r="Q14" i="8"/>
  <c r="P14" i="8"/>
  <c r="O14" i="8"/>
  <c r="N14" i="8"/>
  <c r="M14" i="8"/>
  <c r="L14" i="8"/>
  <c r="K14" i="8"/>
  <c r="J14" i="8"/>
  <c r="I14" i="8"/>
  <c r="G14" i="8"/>
  <c r="F14" i="8"/>
  <c r="E14" i="8"/>
  <c r="D14" i="8"/>
  <c r="A14" i="8"/>
  <c r="R13" i="8"/>
  <c r="Q13" i="8"/>
  <c r="P13" i="8"/>
  <c r="O13" i="8"/>
  <c r="N13" i="8"/>
  <c r="M13" i="8"/>
  <c r="L13" i="8"/>
  <c r="K13" i="8"/>
  <c r="J13" i="8"/>
  <c r="I13" i="8"/>
  <c r="G13" i="8"/>
  <c r="F13" i="8"/>
  <c r="E13" i="8"/>
  <c r="D13" i="8"/>
  <c r="A13" i="8"/>
  <c r="R12" i="8"/>
  <c r="Q12" i="8"/>
  <c r="P12" i="8"/>
  <c r="O12" i="8"/>
  <c r="N12" i="8"/>
  <c r="M12" i="8"/>
  <c r="L12" i="8"/>
  <c r="K12" i="8"/>
  <c r="J12" i="8"/>
  <c r="I12" i="8"/>
  <c r="G12" i="8"/>
  <c r="F12" i="8"/>
  <c r="E12" i="8"/>
  <c r="D12" i="8"/>
  <c r="A12" i="8"/>
  <c r="R11" i="8"/>
  <c r="Q11" i="8"/>
  <c r="P11" i="8"/>
  <c r="O11" i="8"/>
  <c r="N11" i="8"/>
  <c r="M11" i="8"/>
  <c r="L11" i="8"/>
  <c r="K11" i="8"/>
  <c r="J11" i="8"/>
  <c r="I11" i="8"/>
  <c r="G11" i="8"/>
  <c r="F11" i="8"/>
  <c r="E11" i="8"/>
  <c r="D11" i="8"/>
  <c r="A11" i="8"/>
  <c r="R10" i="8"/>
  <c r="Q10" i="8"/>
  <c r="P10" i="8"/>
  <c r="O10" i="8"/>
  <c r="N10" i="8"/>
  <c r="M10" i="8"/>
  <c r="L10" i="8"/>
  <c r="K10" i="8"/>
  <c r="J10" i="8"/>
  <c r="I10" i="8"/>
  <c r="G10" i="8"/>
  <c r="F10" i="8"/>
  <c r="E10" i="8"/>
  <c r="D10" i="8"/>
  <c r="A10" i="8"/>
  <c r="R9" i="8"/>
  <c r="Q9" i="8"/>
  <c r="P9" i="8"/>
  <c r="O9" i="8"/>
  <c r="N9" i="8"/>
  <c r="M9" i="8"/>
  <c r="L9" i="8"/>
  <c r="K9" i="8"/>
  <c r="J9" i="8"/>
  <c r="I9" i="8"/>
  <c r="G9" i="8"/>
  <c r="F9" i="8"/>
  <c r="E9" i="8"/>
  <c r="D9" i="8"/>
  <c r="A9" i="8"/>
  <c r="R8" i="8"/>
  <c r="Q8" i="8"/>
  <c r="P8" i="8"/>
  <c r="O8" i="8"/>
  <c r="N8" i="8"/>
  <c r="M8" i="8"/>
  <c r="L8" i="8"/>
  <c r="K8" i="8"/>
  <c r="J8" i="8"/>
  <c r="I8" i="8"/>
  <c r="G8" i="8"/>
  <c r="F8" i="8"/>
  <c r="E8" i="8"/>
  <c r="D8" i="8"/>
  <c r="A8" i="8"/>
  <c r="R7" i="8"/>
  <c r="Q7" i="8"/>
  <c r="P7" i="8"/>
  <c r="O7" i="8"/>
  <c r="N7" i="8"/>
  <c r="M7" i="8"/>
  <c r="L7" i="8"/>
  <c r="K7" i="8"/>
  <c r="J7" i="8"/>
  <c r="I7" i="8"/>
  <c r="G7" i="8"/>
  <c r="F7" i="8"/>
  <c r="E7" i="8"/>
  <c r="D7" i="8"/>
  <c r="A7" i="8"/>
  <c r="R6" i="8"/>
  <c r="Q6" i="8"/>
  <c r="P6" i="8"/>
  <c r="O6" i="8"/>
  <c r="N6" i="8"/>
  <c r="M6" i="8"/>
  <c r="L6" i="8"/>
  <c r="K6" i="8"/>
  <c r="J6" i="8"/>
  <c r="I6" i="8"/>
  <c r="G6" i="8"/>
  <c r="F6" i="8"/>
  <c r="E6" i="8"/>
  <c r="D6" i="8"/>
  <c r="A6" i="8"/>
  <c r="R5" i="8"/>
  <c r="Q5" i="8"/>
  <c r="P5" i="8"/>
  <c r="O5" i="8"/>
  <c r="N5" i="8"/>
  <c r="M5" i="8"/>
  <c r="L5" i="8"/>
  <c r="K5" i="8"/>
  <c r="J5" i="8"/>
  <c r="I5" i="8"/>
  <c r="G5" i="8"/>
  <c r="F5" i="8"/>
  <c r="E5" i="8"/>
  <c r="D5" i="8"/>
  <c r="A5" i="8"/>
  <c r="R4" i="8"/>
  <c r="Q4" i="8"/>
  <c r="P4" i="8"/>
  <c r="O4" i="8"/>
  <c r="N4" i="8"/>
  <c r="M4" i="8"/>
  <c r="L4" i="8"/>
  <c r="K4" i="8"/>
  <c r="J4" i="8"/>
  <c r="I4" i="8"/>
  <c r="G4" i="8"/>
  <c r="F4" i="8"/>
  <c r="E4" i="8"/>
  <c r="D4" i="8"/>
  <c r="A4" i="8"/>
  <c r="R3" i="8"/>
  <c r="Q3" i="8"/>
  <c r="P3" i="8"/>
  <c r="O3" i="8"/>
  <c r="N3" i="8"/>
  <c r="M3" i="8"/>
  <c r="L3" i="8"/>
  <c r="G8" i="9" s="1"/>
  <c r="K3" i="8"/>
  <c r="J3" i="8"/>
  <c r="I3" i="8"/>
  <c r="G3" i="8"/>
  <c r="F3" i="8"/>
  <c r="E3" i="8"/>
  <c r="D3" i="8"/>
  <c r="A3" i="8"/>
  <c r="R2" i="8"/>
  <c r="Q2" i="8"/>
  <c r="P2" i="8"/>
  <c r="O2" i="8"/>
  <c r="N2" i="8"/>
  <c r="M2" i="8"/>
  <c r="L2" i="8"/>
  <c r="K2" i="8"/>
  <c r="J2" i="8"/>
  <c r="I2" i="8"/>
  <c r="G2" i="8"/>
  <c r="F2" i="8"/>
  <c r="E2" i="8"/>
  <c r="D2" i="8"/>
  <c r="A2" i="8"/>
  <c r="B17" i="6"/>
  <c r="B16" i="6"/>
  <c r="B15" i="6"/>
  <c r="B14" i="6"/>
  <c r="B12" i="6"/>
  <c r="B11" i="6"/>
  <c r="B13" i="6" s="1"/>
  <c r="B10" i="6"/>
  <c r="B9" i="6"/>
  <c r="B8" i="6"/>
  <c r="B7" i="6"/>
  <c r="B6" i="6"/>
  <c r="B5" i="6"/>
  <c r="B4" i="6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4" i="1"/>
  <c r="B5" i="1" s="1"/>
</calcChain>
</file>

<file path=xl/sharedStrings.xml><?xml version="1.0" encoding="utf-8"?>
<sst xmlns="http://schemas.openxmlformats.org/spreadsheetml/2006/main" count="1772" uniqueCount="1244">
  <si>
    <t>Zotero Group Collection Audit</t>
  </si>
  <si>
    <t>SCIE 4403 Lit Review / Lit Review Papers | audit date: 2026-09-02</t>
  </si>
  <si>
    <t>Collection records</t>
  </si>
  <si>
    <t>Audit boundary</t>
  </si>
  <si>
    <t>Unique bibliographic records</t>
  </si>
  <si>
    <t>PDFs locally available</t>
  </si>
  <si>
    <t>PDFs readable</t>
  </si>
  <si>
    <t>Duplicate excess records</t>
  </si>
  <si>
    <t>Records missing DOI</t>
  </si>
  <si>
    <t>Unique title/abstract records screened</t>
  </si>
  <si>
    <t>Key audit finding</t>
  </si>
  <si>
    <t>Group records retained</t>
  </si>
  <si>
    <t>Strongest convergence: multi-stage Yamnaya formation and rapid westward dispersal around 3300–3000 BCE.</t>
  </si>
  <si>
    <t>Full texts assessed</t>
  </si>
  <si>
    <t>Eastward Afanasievo-related movement is supported, but the intermediate route remains more sparsely sampled.</t>
  </si>
  <si>
    <t>Studies in cross-study synthesis</t>
  </si>
  <si>
    <t>Regional studies consistently qualify a uniform replacement model through admixture, sex bias and cultural transmission.</t>
  </si>
  <si>
    <t>My-section background only</t>
  </si>
  <si>
    <t>The principal language gap is the absence of direct linguistic evidence: demographic compatibility is not proof of speech.</t>
  </si>
  <si>
    <t>Full-text exclusions</t>
  </si>
  <si>
    <t>Record #</t>
  </si>
  <si>
    <t>Creator(s)</t>
  </si>
  <si>
    <t>Year</t>
  </si>
  <si>
    <t>Title</t>
  </si>
  <si>
    <t>Publication</t>
  </si>
  <si>
    <t>DOI</t>
  </si>
  <si>
    <t>URL</t>
  </si>
  <si>
    <t>Zotero Item Key</t>
  </si>
  <si>
    <t>BibTeX Key</t>
  </si>
  <si>
    <t>Source Catalog</t>
  </si>
  <si>
    <t>Added to Zotero</t>
  </si>
  <si>
    <t>PDF Attachment Key</t>
  </si>
  <si>
    <t>PDF Availability</t>
  </si>
  <si>
    <t>PDF Readability</t>
  </si>
  <si>
    <t>PDF Pages</t>
  </si>
  <si>
    <t>PDF Size (bytes)</t>
  </si>
  <si>
    <t>Duplicate Status</t>
  </si>
  <si>
    <t>Group Relevance</t>
  </si>
  <si>
    <t>My Section Relevance</t>
  </si>
  <si>
    <t>Audit Notes</t>
  </si>
  <si>
    <t>Wong et al.</t>
  </si>
  <si>
    <t>Reconstructing genetic history of Siberian and Northeastern European populations</t>
  </si>
  <si>
    <t>Genome Research</t>
  </si>
  <si>
    <t>10.1101/gr.202945.115</t>
  </si>
  <si>
    <t>CEFW5MDT</t>
  </si>
  <si>
    <t>wong_reconstructing_2017</t>
  </si>
  <si>
    <t>Clarivate Analytics Web of Science</t>
  </si>
  <si>
    <t>BWE7BMJ5</t>
  </si>
  <si>
    <t>AVAILABLE</t>
  </si>
  <si>
    <t>VALID</t>
  </si>
  <si>
    <t>UNIQUE</t>
  </si>
  <si>
    <t>INCLUDE</t>
  </si>
  <si>
    <t>INCLUDE - MIGRATION</t>
  </si>
  <si>
    <t>Chintalapati et al.</t>
  </si>
  <si>
    <t>The spatiotemporal patterns of major human admixture events during the European Holocene</t>
  </si>
  <si>
    <t>eLife</t>
  </si>
  <si>
    <t>10.7554/eLife.77625</t>
  </si>
  <si>
    <t>https://elifesciences.org/articles/77625</t>
  </si>
  <si>
    <t>EIBGSQF3</t>
  </si>
  <si>
    <t>chintalapati_spatiotemporal_2022</t>
  </si>
  <si>
    <t>H3X8UPU5</t>
  </si>
  <si>
    <t>INCLUDE - MIGRATION + LANGUAGE</t>
  </si>
  <si>
    <t>Wang et al.</t>
  </si>
  <si>
    <t>Genomic insights into the formation of human populations in East Asia</t>
  </si>
  <si>
    <t>Nature</t>
  </si>
  <si>
    <t>10.1038/s41586-021-03336-2</t>
  </si>
  <si>
    <t>https://www.nature.com/articles/s41586-021-03336-2</t>
  </si>
  <si>
    <t>4IUR2RSU</t>
  </si>
  <si>
    <t>wang_genomic_2021</t>
  </si>
  <si>
    <t>www.nature.com</t>
  </si>
  <si>
    <t>Y6XQYYTF</t>
  </si>
  <si>
    <t>A bibliographic match exists outside this collection as unfiled group item IVVVT6WZ; see Flag Register.</t>
  </si>
  <si>
    <t>Librado et al.</t>
  </si>
  <si>
    <t>The origins and spread of domestic horses from the Western Eurasian steppes</t>
  </si>
  <si>
    <t>10.1038/s41586-021-04018-9</t>
  </si>
  <si>
    <t>https://www.nature.com/articles/s41586-021-04018-9</t>
  </si>
  <si>
    <t>QD6IY2HJ</t>
  </si>
  <si>
    <t>librado_origins_2021</t>
  </si>
  <si>
    <t>BVIH8K6B</t>
  </si>
  <si>
    <t>BACKGROUND ONLY</t>
  </si>
  <si>
    <t>Scorrano et al.</t>
  </si>
  <si>
    <t>The genetic and cultural impact of the Steppe migration into Europe.</t>
  </si>
  <si>
    <t>Annals of Human Biology</t>
  </si>
  <si>
    <t>10.1080/03014460.2021.1942984</t>
  </si>
  <si>
    <t>https://research.ebsco.com/plink/da3fd0bc-0e84-3874-9253-4d17249125a6</t>
  </si>
  <si>
    <t>24A5ALRY</t>
  </si>
  <si>
    <t>scorrano_genetic_2021</t>
  </si>
  <si>
    <t>EBSCOhost</t>
  </si>
  <si>
    <t>84LGCG9B</t>
  </si>
  <si>
    <t>Linderholm et al.</t>
  </si>
  <si>
    <t>Corded Ware cultural complexity uncovered using genomic and isotopic analysis from south-eastern Poland</t>
  </si>
  <si>
    <t>Scientific Reports</t>
  </si>
  <si>
    <t>10.1038/s41598-020-63138-w</t>
  </si>
  <si>
    <t>https://www.nature.com/articles/s41598-020-63138-w</t>
  </si>
  <si>
    <t>Z6RYK2BV</t>
  </si>
  <si>
    <t>linderholm_corded_2020</t>
  </si>
  <si>
    <t>SRTBVJNI</t>
  </si>
  <si>
    <t>Lazaridis et al.</t>
  </si>
  <si>
    <t>The genetic origin of the Indo-Europeans</t>
  </si>
  <si>
    <t>10.1038/s41586-024-08531-5</t>
  </si>
  <si>
    <t>https://www.nature.com/articles/s41586-024-08531-5</t>
  </si>
  <si>
    <t>DHIHCURJ</t>
  </si>
  <si>
    <t>lazaridis_genetic_2025</t>
  </si>
  <si>
    <t>WJTY96RM</t>
  </si>
  <si>
    <t>DUPLICATE</t>
  </si>
  <si>
    <t>EXCLUDE</t>
  </si>
  <si>
    <t>Exact duplicate of KZVYLCU9; DOI, title, citation key, PDF size, and SHA-256 match.</t>
  </si>
  <si>
    <t>Furholt</t>
  </si>
  <si>
    <t>Massive Migrations? The Impact of Recent aDNA Studies on our View of Third Millennium Europe</t>
  </si>
  <si>
    <t>European Journal of Archaeology</t>
  </si>
  <si>
    <t>10.1017/eaa.2017.43</t>
  </si>
  <si>
    <t>2DPCPNXM</t>
  </si>
  <si>
    <t>furholt_massive_2018</t>
  </si>
  <si>
    <t>F3V38A6Z</t>
  </si>
  <si>
    <t>Tassi et al.</t>
  </si>
  <si>
    <t>Genome diversity in the Neolithic Globular Amphorae culture and the spread of Indo-European languages</t>
  </si>
  <si>
    <t>Proceedings of the Royal Society B: Biological Sciences</t>
  </si>
  <si>
    <t>10.1098/rspb.2017.1540</t>
  </si>
  <si>
    <t>https://doi.org/10.1098/rspb.2017.1540</t>
  </si>
  <si>
    <t>Q2Y9FLYQ</t>
  </si>
  <si>
    <t>tassi_genome_2017</t>
  </si>
  <si>
    <t>Silverchair</t>
  </si>
  <si>
    <t>XDF7EXQE</t>
  </si>
  <si>
    <t>Also has an HTML snapshot child attachment.</t>
  </si>
  <si>
    <t>Ringbauer et al.</t>
  </si>
  <si>
    <t>Accurate detection of identity-by-descent segments in human ancient DNA</t>
  </si>
  <si>
    <t>Nature Genetics</t>
  </si>
  <si>
    <t>10.1038/s41588-023-01582-w</t>
  </si>
  <si>
    <t>https://www.nature.com/articles/s41588-023-01582-w</t>
  </si>
  <si>
    <t>MVP4P8Z2</t>
  </si>
  <si>
    <t>ringbauer_accurate_2024</t>
  </si>
  <si>
    <t>6MUTAXCN</t>
  </si>
  <si>
    <t>Dzhaubermezov et al.</t>
  </si>
  <si>
    <t>Genomic history of the Caucasus: A systematic review and meta-analysis of ancient DNA studies</t>
  </si>
  <si>
    <t>BioSystems</t>
  </si>
  <si>
    <t>10.1016/j.biosystems.2026.105906</t>
  </si>
  <si>
    <t>https://www.sciencedirect.com/science/article/pii/S0303264726002169</t>
  </si>
  <si>
    <t>8LBVFX2C</t>
  </si>
  <si>
    <t>dzhaubermezov_genomic_2026</t>
  </si>
  <si>
    <t>ScienceDirect</t>
  </si>
  <si>
    <t>A4979JQC</t>
  </si>
  <si>
    <t>Zotero publication date is 2026-10-01, later than the 2026-09-02 audit date; verify metadata before citation. Also has an HTML snapshot.</t>
  </si>
  <si>
    <t>KZVYLCU9</t>
  </si>
  <si>
    <t>ZKCVIDCI</t>
  </si>
  <si>
    <t>CANONICAL IN DUPLICATE SET</t>
  </si>
  <si>
    <t>Earlier-added copy; exact duplicate of DHIHCURJ.</t>
  </si>
  <si>
    <t>Nikitin et al.</t>
  </si>
  <si>
    <t>A genomic history of the North Pontic Region from the Neolithic to the Bronze Age</t>
  </si>
  <si>
    <t>10.1038/s41586-024-08372-2</t>
  </si>
  <si>
    <t>https://www.nature.com/articles/s41586-024-08372-2</t>
  </si>
  <si>
    <t>9DJYHJ7E</t>
  </si>
  <si>
    <t>nikitin_genomic_2025</t>
  </si>
  <si>
    <t>JTQ4LNEQ</t>
  </si>
  <si>
    <t>Papac et al.</t>
  </si>
  <si>
    <t>Dynamic changes in genomic and social structures in third millennium BCE central Europe</t>
  </si>
  <si>
    <t>Science Advances</t>
  </si>
  <si>
    <t>10.1126/sciadv.abi6941</t>
  </si>
  <si>
    <t>https://pmc.ncbi.nlm.nih.gov/articles/PMC8386934/</t>
  </si>
  <si>
    <t>U92TYDRN</t>
  </si>
  <si>
    <t>papac_dynamic_2021</t>
  </si>
  <si>
    <t>PubMed Central</t>
  </si>
  <si>
    <t>2NADC6DR</t>
  </si>
  <si>
    <t>Also has a linked catalog-page child attachment.</t>
  </si>
  <si>
    <t>Mathieson et al.</t>
  </si>
  <si>
    <t>The genomic history of southeastern Europe</t>
  </si>
  <si>
    <t>10.1038/nature25778</t>
  </si>
  <si>
    <t>https://www.nature.com/articles/nature25778</t>
  </si>
  <si>
    <t>TTSVUEKS</t>
  </si>
  <si>
    <t>mathieson_genomic_2018</t>
  </si>
  <si>
    <t>NAGVBZVU</t>
  </si>
  <si>
    <t>Olalde et al.</t>
  </si>
  <si>
    <t>The Beaker phenomenon and the genomic transformation of northwest Europe</t>
  </si>
  <si>
    <t>10.1038/nature25738</t>
  </si>
  <si>
    <t>https://www.nature.com/articles/nature25738</t>
  </si>
  <si>
    <t>2PL38PG4</t>
  </si>
  <si>
    <t>olalde_beaker_2018</t>
  </si>
  <si>
    <t>US52X4SZ</t>
  </si>
  <si>
    <t>Allentoft et al.</t>
  </si>
  <si>
    <t>Population genomics of Bronze Age Eurasia</t>
  </si>
  <si>
    <t>10.1038/nature14507</t>
  </si>
  <si>
    <t>https://www.nature.com/articles/nature14507</t>
  </si>
  <si>
    <t>B2PLN5IB</t>
  </si>
  <si>
    <t>allentoft_population_2015</t>
  </si>
  <si>
    <t>FVL6J4BR</t>
  </si>
  <si>
    <t>Haak et al.</t>
  </si>
  <si>
    <t>Massive migration from the steppe was a source for Indo-European languages in Europe</t>
  </si>
  <si>
    <t>10.1038/nature14317</t>
  </si>
  <si>
    <t>https://www.nature.com/articles/nature14317</t>
  </si>
  <si>
    <t>6ZNHJTYH</t>
  </si>
  <si>
    <t>haak_massive_2015</t>
  </si>
  <si>
    <t>XINUIG5V</t>
  </si>
  <si>
    <t>Flag</t>
  </si>
  <si>
    <t>Status</t>
  </si>
  <si>
    <t>Collection Item(s)</t>
  </si>
  <si>
    <t>Related Item</t>
  </si>
  <si>
    <t>Evidence</t>
  </si>
  <si>
    <t>Effect on Counts</t>
  </si>
  <si>
    <t>Recommended Follow-up</t>
  </si>
  <si>
    <t>Within-collection duplicate</t>
  </si>
  <si>
    <t>CONFIRMED</t>
  </si>
  <si>
    <t>DHIHCURJ; KZVYLCU9</t>
  </si>
  <si>
    <t>Same DOI, title, citation key and 24,839,158-byte PDF; attachment SHA-256 hashes are identical.</t>
  </si>
  <si>
    <t>18 records; 17 unique bibliographic records.</t>
  </si>
  <si>
    <t>Keep one canonical record after the group confirms which Zotero item to retain. No deletion was performed.</t>
  </si>
  <si>
    <t>Unfiled group-library match</t>
  </si>
  <si>
    <t>REVIEW</t>
  </si>
  <si>
    <t>IVVVT6WZ</t>
  </si>
  <si>
    <t>Same title and DOI. IVVVT6WZ is outside Lit Review Papers and its PDF hash differs from the collection copy.</t>
  </si>
  <si>
    <t>Not counted in the 18-record collection inventory.</t>
  </si>
  <si>
    <t>Inspect whether it is an alternate PDF/version before any merge or deletion.</t>
  </si>
  <si>
    <t>Publication-date metadata</t>
  </si>
  <si>
    <t>VERIFY</t>
  </si>
  <si>
    <t>Zotero date is 2026-10-01, which is later than the audit date 2026-09-02.</t>
  </si>
  <si>
    <t>No change to inventory count.</t>
  </si>
  <si>
    <t>Verify the publication date before using the citation.</t>
  </si>
  <si>
    <t>Search provenance gap</t>
  </si>
  <si>
    <t>UNKNOWN</t>
  </si>
  <si>
    <t>Zero Zotero saved-search objects; no database-level result count, filters, fields, export file or confirmed search date found.</t>
  </si>
  <si>
    <t>Collection size cannot be used as the PRISMA identification count.</t>
  </si>
  <si>
    <t>Recover the original database/export log from the group if it exists.</t>
  </si>
  <si>
    <t>Field</t>
  </si>
  <si>
    <t>Value</t>
  </si>
  <si>
    <t>Interpretation / constraint</t>
  </si>
  <si>
    <t>Audit date</t>
  </si>
  <si>
    <t>2026-09-02</t>
  </si>
  <si>
    <t>Australia/Perth</t>
  </si>
  <si>
    <t>Zotero group</t>
  </si>
  <si>
    <t>SCIE 4403 Lit Review</t>
  </si>
  <si>
    <t>Group library ID 6645071</t>
  </si>
  <si>
    <t>Zotero collection</t>
  </si>
  <si>
    <t>Lit Review Papers</t>
  </si>
  <si>
    <t>Collection key 62E8UWNY</t>
  </si>
  <si>
    <t>Top-level journal-article records in the named collection</t>
  </si>
  <si>
    <t>Group top-level journal records</t>
  </si>
  <si>
    <t>Includes one unfiled Wang et al. bibliographic match outside the collection</t>
  </si>
  <si>
    <t>Saved Zotero searches</t>
  </si>
  <si>
    <t>No saved-search object is available to reconstruct database search settings</t>
  </si>
  <si>
    <t>Historical query</t>
  </si>
  <si>
    <t>("Yamnaya" OR "Yamna culture")
AND
("DNA" OR "aDNA" OR "ancient genomics")
AND
("migration" OR "Indo-European")</t>
  </si>
  <si>
    <t>Preserved exactly from thesis-workflow/SKILL.md</t>
  </si>
  <si>
    <t>Database used</t>
  </si>
  <si>
    <t>Source Catalog metadata is not proof of the database used for the historical search</t>
  </si>
  <si>
    <t>Search date</t>
  </si>
  <si>
    <t>Zotero dateAdded timestamps are import dates, not verified search dates</t>
  </si>
  <si>
    <t>Fields searched</t>
  </si>
  <si>
    <t>Not recoverable from Zotero collection metadata</t>
  </si>
  <si>
    <t>Filters</t>
  </si>
  <si>
    <t>Records initially retrieved</t>
  </si>
  <si>
    <t>Do not substitute the 18 Zotero records for this PRISMA number</t>
  </si>
  <si>
    <t>Export filename</t>
  </si>
  <si>
    <t>No export file or search log was found in Zotero</t>
  </si>
  <si>
    <t>Screening status</t>
  </si>
  <si>
    <t>TITLE/ABSTRACT SCREENING COMPLETE</t>
  </si>
  <si>
    <t>17 unique records screened; one exact duplicate removed before screening</t>
  </si>
  <si>
    <t>Full-text assessment</t>
  </si>
  <si>
    <t>FULL-TEXT ELIGIBILITY COMPLETE</t>
  </si>
  <si>
    <t>15 primary candidates assessed from accessible PDFs; 15 included, 0 not retrieved and 0 excluded. Evidence and page/section pointers are stored in Evidence Extraction. The 2 background-only records were not part of this stage.</t>
  </si>
  <si>
    <t>Synthesis status</t>
  </si>
  <si>
    <t>COMPLETE</t>
  </si>
  <si>
    <t>Cross-study Synthesis Table and seven-theme/gap map completed from the 15 full-text evidence records; no new search and no review prose drafting.</t>
  </si>
  <si>
    <t>Study</t>
  </si>
  <si>
    <t>Evidence Used</t>
  </si>
  <si>
    <t>Title/Abstract Screened</t>
  </si>
  <si>
    <t>Group Decision Reason</t>
  </si>
  <si>
    <t>My Section Decision Reason</t>
  </si>
  <si>
    <t>Language Relevance</t>
  </si>
  <si>
    <t>Chronological Role</t>
  </si>
  <si>
    <t>PDF Available</t>
  </si>
  <si>
    <t>My-Section Full-Text Path</t>
  </si>
  <si>
    <t>Full-Text Assessment</t>
  </si>
  <si>
    <t>Notes</t>
  </si>
  <si>
    <t>Wong et al. (2017)</t>
  </si>
  <si>
    <t>Accessible full text</t>
  </si>
  <si>
    <t>YES</t>
  </si>
  <si>
    <t>Genetic history and admixture involving Yamnaya and northern Eurasian populations are relevant to the overall aDNA review.</t>
  </si>
  <si>
    <t>Abstract reports Yamnaya-related admixture and ancient gene flow relevant to population movement; it makes no substantive Indo-European claim.</t>
  </si>
  <si>
    <t>BACKGROUND</t>
  </si>
  <si>
    <t>DIRECT / TARGET PERIOD</t>
  </si>
  <si>
    <t>ADVANCE</t>
  </si>
  <si>
    <t>Full text supports inclusion as contextual migration evidence; ancient Yamnaya evidence is comparative rather than a direct migration transect.</t>
  </si>
  <si>
    <t>Chintalapati et al. (2022)</t>
  </si>
  <si>
    <t>Ancient-genomic dating reconstructs Steppe pastoralist ancestry and migration chronology.</t>
  </si>
  <si>
    <t>Abstract addresses the timing and spread of Steppe ancestry across Europe and explicitly relates the findings to Indo-European language spread.</t>
  </si>
  <si>
    <t>EXPLICIT</t>
  </si>
  <si>
    <t>MIXED: EARLIER FORMATION + TARGET-PERIOD SPREAD</t>
  </si>
  <si>
    <t>Full text assessed; direct demographic results and language interpretation are separated in Evidence Extraction.</t>
  </si>
  <si>
    <t>Wang et al. (2021)</t>
  </si>
  <si>
    <t>Genome-wide data address Eurasian population formation and Yamnaya-related ancestry in eastern Eurasia.</t>
  </si>
  <si>
    <t>Abstract reports Yamnaya ancestry reaching western Mongolia after about 3000 BCE and explicitly proposes compatibility with proto-Tocharian dispersal.</t>
  </si>
  <si>
    <t>DIRECT + LATER CONTINUATION</t>
  </si>
  <si>
    <t>Full text assessed; proto-Tocharian is an author interpretation, not a genetic observation.</t>
  </si>
  <si>
    <t>Librado et al. (2021)</t>
  </si>
  <si>
    <t>Zotero title and abstract</t>
  </si>
  <si>
    <t>Ancient horse genomics is relevant to the group's technology and mobility questions and directly evaluates a proposed Yamnaya expansion mechanism.</t>
  </si>
  <si>
    <t>The abstract rejects a simple link between horseback riding, Yamnaya expansion and Indo-European spread, but it does not provide human genetic evidence of Yamnaya migration.</t>
  </si>
  <si>
    <t>TARGET-PERIOD CLAIM + LATER HORSE EXPANSION</t>
  </si>
  <si>
    <t>BACKGROUND / OPTIONAL</t>
  </si>
  <si>
    <t>NOT ASSESSED - BACKGROUND ONLY</t>
  </si>
  <si>
    <t>Background-only record was not part of this 15-paper eligibility stage.</t>
  </si>
  <si>
    <t>Scorrano et al. (2021)</t>
  </si>
  <si>
    <t>The study assesses the genetic and sex-biased effects of Steppe migration on Bronze Age European populations.</t>
  </si>
  <si>
    <t>Abstract directly addresses migration scale, geographic impact and male-biased Steppe ancestry in Corded Ware and Bell Beaker populations.</t>
  </si>
  <si>
    <t>INDIRECT</t>
  </si>
  <si>
    <t>DIRECT / EARLY THIRD MILLENNIUM BCE</t>
  </si>
  <si>
    <t>Full text assessed; sex-bias conclusions carry explicit X-chromosome and sampling cautions.</t>
  </si>
  <si>
    <t>Linderholm et al. (2020)</t>
  </si>
  <si>
    <t>Genomic, kinship and isotope evidence informs Corded Ware population history and mobility.</t>
  </si>
  <si>
    <t>Abstract reports Steppe paternal ancestry, local maternal lineages and local/non-local kinship in a Corded Ware community connected to Yamnaya.</t>
  </si>
  <si>
    <t>DIRECT / THIRD MILLENNIUM CONTEXT</t>
  </si>
  <si>
    <t>Full text assessed; regional community-level evidence should not be generalized to all Corded Ware groups.</t>
  </si>
  <si>
    <t>Lazaridis et al. (2025) - duplicate</t>
  </si>
  <si>
    <t>DOI, title, metadata and PDF checksum</t>
  </si>
  <si>
    <t>NO</t>
  </si>
  <si>
    <t>Exact duplicate of canonical collection item KZVYLCU9; removed before title/abstract screening.</t>
  </si>
  <si>
    <t>Duplicate record; the canonical copy is screened separately.</t>
  </si>
  <si>
    <t>NOT ASSESSED</t>
  </si>
  <si>
    <t>NOT APPLICABLE</t>
  </si>
  <si>
    <t>DO NOT ADVANCE</t>
  </si>
  <si>
    <t>Exact duplicate of KZVYLCU9; no assessment performed.</t>
  </si>
  <si>
    <t>Furholt (2018)</t>
  </si>
  <si>
    <t>The article critiques how aDNA migration narratives are interpreted in third-millennium European archaeology.</t>
  </si>
  <si>
    <t>Abstract provides methodological and conceptual guidance for interpreting mobility and migration but does not present a principal new migration dataset.</t>
  </si>
  <si>
    <t>NONE</t>
  </si>
  <si>
    <t>TARGET-PERIOD METHODOLOGICAL CONTEXT</t>
  </si>
  <si>
    <t>Background-only methodological record was not part of this 15-paper eligibility stage.</t>
  </si>
  <si>
    <t>Tassi et al. (2017)</t>
  </si>
  <si>
    <t>Ancient DNA tests demographic relationships between Globular Amphorae groups and Pontic-steppe-related populations.</t>
  </si>
  <si>
    <t>Abstract compares Steppe and Anatolian language-spread models and distinguishes cultural influence from movement of people.</t>
  </si>
  <si>
    <t>EARLIER / CONTEXT FOR LATER TARGET-PERIOD GENE FLOW</t>
  </si>
  <si>
    <t>Full text assessed; negative GAC result helps distinguish cultural influence from population movement.</t>
  </si>
  <si>
    <t>Ringbauer et al. (2024)</t>
  </si>
  <si>
    <t>The method and application reveal close genealogical connections among ancient Eurasian populations.</t>
  </si>
  <si>
    <t>Abstract reports substantial recent co-ancestry between Yamnaya and Corded Ware groups, directly informing their demographic relationship.</t>
  </si>
  <si>
    <t>DIRECT / TARGET-PERIOD RELATIONSHIP</t>
  </si>
  <si>
    <t>Full text assessed; IBD supplies direct recent co-ancestry, not linguistic identity.</t>
  </si>
  <si>
    <t>Dzhaubermezov et al. (2026)</t>
  </si>
  <si>
    <t>Systematic review and meta-analysis addresses Caucasus demographic history, Steppe gene flow and Yamnaya expansion.</t>
  </si>
  <si>
    <t>Abstract synthesizes Yamnaya-linked Steppe gene flow in a major Eurasian corridor; language-genetics is mentioned mainly as broader context.</t>
  </si>
  <si>
    <t>BROAD BRONZE AGE / REQUIRES DATE-SPECIFIC EXTRACTION</t>
  </si>
  <si>
    <t>Full text assessed as secondary pooled evidence; citation date metadata remains flagged.</t>
  </si>
  <si>
    <t>Lazaridis et al. (2025)</t>
  </si>
  <si>
    <t>Ancient DNA reconstructs Yamnaya formation, expansion and ancestry relationships.</t>
  </si>
  <si>
    <t>Abstract details migration and admixture routes preceding Yamnaya formation, the 3300 BCE expansion, and an explicit proto-Indo-Anatolian interpretation.</t>
  </si>
  <si>
    <t>EARLIER FORMATION + DIRECT TARGET-PERIOD EXPANSION</t>
  </si>
  <si>
    <t>Full text assessed; use canonical item and keep linguistic model as interdisciplinary interpretation.</t>
  </si>
  <si>
    <t>Nikitin et al. (2025)</t>
  </si>
  <si>
    <t>Genome-wide data reconstruct multiple migration waves and Yamna formation in the North Pontic region.</t>
  </si>
  <si>
    <t>Abstract directly identifies three migration waves, admixture processes and Yamna expansion beginning around 3300 BCE.</t>
  </si>
  <si>
    <t>Full text assessed; language relevance is indirect/contextual.</t>
  </si>
  <si>
    <t>Papac et al. (2021)</t>
  </si>
  <si>
    <t>A regional archaeogenetic time transect documents migration, Steppe ancestry and population turnover.</t>
  </si>
  <si>
    <t>Abstract addresses Corded Ware and Bell Beaker demographic change, steppe ancestry, assimilation and replacement during and around the target period.</t>
  </si>
  <si>
    <t>DIRECT + IMMEDIATE LATER CONSEQUENCES</t>
  </si>
  <si>
    <t>Full text assessed; later transformations must be labelled outside the primary period.</t>
  </si>
  <si>
    <t>Mathieson et al. (2018)</t>
  </si>
  <si>
    <t>Genome-wide data address Steppe contact, ancestry formation and population replacement in southeastern Europe.</t>
  </si>
  <si>
    <t>Abstract provides earlier evidence for Steppe contact and ancestry formation that contextualizes later Steppe migrations and replacement.</t>
  </si>
  <si>
    <t>EARLIER CONTEXT + LATER MIGRATION CONSEQUENCES</t>
  </si>
  <si>
    <t>Full text assessed; isolate early Steppe contact from later mass migration.</t>
  </si>
  <si>
    <t>Olalde et al. (2018)</t>
  </si>
  <si>
    <t>Genome-wide data distinguish cultural diffusion from migration and document Steppe-related ancestry and replacement.</t>
  </si>
  <si>
    <t>Abstract traces the continued east-to-west spread of Steppe-related ancestry through Bell Beaker-associated migration and major population replacement.</t>
  </si>
  <si>
    <t>LATE TARGET PERIOD + LATER CONSEQUENCES</t>
  </si>
  <si>
    <t>Full text assessed; strongest British result is a later consequence outside the primary interval.</t>
  </si>
  <si>
    <t>Allentoft et al. (2015)</t>
  </si>
  <si>
    <t>Ancient genomes across Eurasia document large-scale Bronze Age migrations and replacements.</t>
  </si>
  <si>
    <t>Abstract addresses Eurasian migration and states that the findings are consistent with hypothesized Early Bronze Age Indo-European dispersal.</t>
  </si>
  <si>
    <t>DIRECT / BROAD BRONZE AGE</t>
  </si>
  <si>
    <t>Full text assessed; language association is framed as compatibility.</t>
  </si>
  <si>
    <t>Haak et al. (2015)</t>
  </si>
  <si>
    <t>Genome-wide data document large migration into Europe from the Eurasian Steppe.</t>
  </si>
  <si>
    <t>Abstract directly links Steppe migration evidence to support for a Steppe-origin hypothesis for some Indo-European languages.</t>
  </si>
  <si>
    <t>Full text assessed; the paper explicitly states that aDNA cannot identify spoken language.</t>
  </si>
  <si>
    <t>PRISMA Stage / Metric</t>
  </si>
  <si>
    <t>Count</t>
  </si>
  <si>
    <t>Evidence / Formula</t>
  </si>
  <si>
    <t>Constraint</t>
  </si>
  <si>
    <t>Identification - records identified from databases</t>
  </si>
  <si>
    <t>UNRESOLVED</t>
  </si>
  <si>
    <t>No historical database/export log found</t>
  </si>
  <si>
    <t>Do not use the Zotero collection count as a substitute</t>
  </si>
  <si>
    <t>Identification - records identified by other methods</t>
  </si>
  <si>
    <t>No historical source log found</t>
  </si>
  <si>
    <t>Requires group documentation</t>
  </si>
  <si>
    <t>Observed Zotero collection records</t>
  </si>
  <si>
    <t>OBSERVED</t>
  </si>
  <si>
    <t>Zotero collection audit</t>
  </si>
  <si>
    <t>Context only; not necessarily the identification total</t>
  </si>
  <si>
    <t>Duplicate records removed before screening</t>
  </si>
  <si>
    <t>COMPLETE FOR COLLECTION</t>
  </si>
  <si>
    <t>Record remains in Zotero but is excluded from screening counts</t>
  </si>
  <si>
    <t>Unique records after deduplication</t>
  </si>
  <si>
    <t>Observed records minus duplicate excess records</t>
  </si>
  <si>
    <t>Applies to this Zotero collection only</t>
  </si>
  <si>
    <t>Titles/abstracts screened</t>
  </si>
  <si>
    <t>Study-level Screening Decisions</t>
  </si>
  <si>
    <t>All 17 unique records had Zotero abstracts</t>
  </si>
  <si>
    <t>Group exclusions at title/abstract stage</t>
  </si>
  <si>
    <t>Duplicate is counted under deduplication, not screening exclusion</t>
  </si>
  <si>
    <t>Group records retained after title/abstract screen</t>
  </si>
  <si>
    <t>All 17 unique records remain relevant to at least one group topic</t>
  </si>
  <si>
    <t>My-section records not advanced to primary full-text eligibility</t>
  </si>
  <si>
    <t>Two background-only records</t>
  </si>
  <si>
    <t>Background-only is not an overall group exclusion</t>
  </si>
  <si>
    <t>Reports sought for primary full-text eligibility</t>
  </si>
  <si>
    <t>15 records marked ADVANCE</t>
  </si>
  <si>
    <t>Formal eligibility stage for this section</t>
  </si>
  <si>
    <t>Reports successfully retrieved</t>
  </si>
  <si>
    <t>Accessible local PDFs represented in Evidence Extraction</t>
  </si>
  <si>
    <t>Retrieved is separate from eligible</t>
  </si>
  <si>
    <t>Reports not retrieved</t>
  </si>
  <si>
    <t>Reports sought minus reports retrieved</t>
  </si>
  <si>
    <t>Zero; do not combine with full-text exclusions</t>
  </si>
  <si>
    <t>Full-text articles assessed for eligibility</t>
  </si>
  <si>
    <t>One evidence-extraction row per assessed study</t>
  </si>
  <si>
    <t>15 primary candidates</t>
  </si>
  <si>
    <t>Full-text articles excluded</t>
  </si>
  <si>
    <t>Study-level Full-Text Assessment decisions</t>
  </si>
  <si>
    <t>Zero candidates excluded at this stage</t>
  </si>
  <si>
    <t>Studies finally included in my section</t>
  </si>
  <si>
    <t>Final full-text decisions</t>
  </si>
  <si>
    <t>15 primary studies; 2 other group-relevant studies remain background only</t>
  </si>
  <si>
    <t>Unique studies retained for the overall group review</t>
  </si>
  <si>
    <t>Title/abstract group decision</t>
  </si>
  <si>
    <t>My-section status is not the group status</t>
  </si>
  <si>
    <t>Region</t>
  </si>
  <si>
    <t>Relevant Populations / Cultures</t>
  </si>
  <si>
    <t>Sample Dates</t>
  </si>
  <si>
    <t>Samples / Data</t>
  </si>
  <si>
    <t>Methods</t>
  </si>
  <si>
    <t>Direct Genetic Result</t>
  </si>
  <si>
    <t>Migration Origin</t>
  </si>
  <si>
    <t>Migration Destination</t>
  </si>
  <si>
    <t>Route / Pattern</t>
  </si>
  <si>
    <t>Migration Chronology</t>
  </si>
  <si>
    <t>Demographic Evidence</t>
  </si>
  <si>
    <t>Author Migration Interpretation</t>
  </si>
  <si>
    <t>Language Inference</t>
  </si>
  <si>
    <t>Claim Provenance</t>
  </si>
  <si>
    <t>Geographic / Chronological Limits</t>
  </si>
  <si>
    <t>Method / Design Limits</t>
  </si>
  <si>
    <t>Contribution to Review</t>
  </si>
  <si>
    <t>Full-Text Decision</t>
  </si>
  <si>
    <t>Key Pages / Sections</t>
  </si>
  <si>
    <t>Western Siberia; northeastern Europe; Urals</t>
  </si>
  <si>
    <t>Mansi, Khanty, Nenets, Selkup and other northern Eurasian groups; published Yamnaya and other ancient comparators</t>
  </si>
  <si>
    <t>Modern genomes; ancient comparators include Yamnaya (~4.7–5.3 kya)</t>
  </si>
  <si>
    <t>28 high-coverage modern genomes from 14 groups, 32 additional modern genomes and 46 published ancient genomes</t>
  </si>
  <si>
    <t>High-coverage whole-genome sequencing; PCA; TreeMix; D-statistics; admixture modelling</t>
  </si>
  <si>
    <t>Western Siberian groups, especially Mansi, share excess alleles with ancient eastern Europeans including Yamnaya; western Siberian-related ancestry is also detectable in northeastern Europeans.</t>
  </si>
  <si>
    <t>Western Siberia / Urals</t>
  </si>
  <si>
    <t>Northeastern and eastern Europe</t>
  </si>
  <si>
    <t>Westward gene flow and later contact across northern Eurasia</t>
  </si>
  <si>
    <t>Authors infer western Siberian input into northeastern Europe before the Yamnaya horizon, probably before ~6.6 kya.</t>
  </si>
  <si>
    <t>Admixture and allele-sharing; not a directly sampled Yamnaya migration transect</t>
  </si>
  <si>
    <t>The authors reconstruct deep Siberia–Europe interaction and caution that Mansi are not descendants of Yamnaya.</t>
  </si>
  <si>
    <t>Late Proto-Indo-European is contextual only; the paper makes no independent linguistic inference.</t>
  </si>
  <si>
    <t>Genetic statements are direct results plus author demographic interpretation; language is background attributed to cited literature.</t>
  </si>
  <si>
    <t>Predominantly a northern Eurasian study using modern populations; target-period movement is indirect.</t>
  </si>
  <si>
    <t>Ancient genomes are published comparators; direction and timing depend on population models and sparse ancient sampling.</t>
  </si>
  <si>
    <t>Adds contextual evidence that northern Eurasian gene flow pre-dated and overlapped the Yamnaya horizon, qualifying a simple one-way expansion narrative.</t>
  </si>
  <si>
    <t>pp. 1–2, 9–12</t>
  </si>
  <si>
    <t>Use as contextual migration evidence, not as a core Yamnaya-route study.</t>
  </si>
  <si>
    <t>Europe and western Asia; 16 regional groupings</t>
  </si>
  <si>
    <t>Mesolithic, Neolithic, Steppe pastoralist, Yamnaya/Afanasievo-related and later European populations</t>
  </si>
  <si>
    <t>~8000–350 BCE</t>
  </si>
  <si>
    <t>Approximately 1,100 published ancient individuals</t>
  </si>
  <si>
    <t>DATES ancestry-covariance dating; ancestry source modelling; regional meta-analysis</t>
  </si>
  <si>
    <t>Admixture-date estimates reconstruct the formation and spread of Steppe pastoralist ancestry; estimated Yamnaya/Afanasievo genetic formation precedes their archaeological appearance by more than a millennium.</t>
  </si>
  <si>
    <t>Pontic-Caspian Steppe and related eastern sources</t>
  </si>
  <si>
    <t>Multiple European regions and the Altai</t>
  </si>
  <si>
    <t>Multi-stage westward and eastward dispersal of Steppe ancestry</t>
  </si>
  <si>
    <t>Formation before the Yamnaya horizon; major dispersals around and after ~3000 BCE</t>
  </si>
  <si>
    <t>Dated ancestry mixture and regional shifts</t>
  </si>
  <si>
    <t>The authors interpret the dated admixture patterns as a reconstruction of major Holocene migrations.</t>
  </si>
  <si>
    <t>The demographic chronology is presented as relevant to competing models of Indo-European dispersal; DNA does not identify the language spoken.</t>
  </si>
  <si>
    <t>Admixture dates are direct model outputs; migration and language links are author interpretations.</t>
  </si>
  <si>
    <t>Very broad spatial and temporal coverage; regional sampling density is uneven and much evidence lies outside 3300–2600 BCE.</t>
  </si>
  <si>
    <t>DATES approximates pulse admixture; multiple pulses can yield intermediate dates, closely related sources are difficult to separate and low ancestry proportions are uncertain.</t>
  </si>
  <si>
    <t>Provides a comparative chronology for Steppe-related ancestry formation and its westward/eastward spread.</t>
  </si>
  <si>
    <t>pp. 1–6 and regional-results sections</t>
  </si>
  <si>
    <t>Treat linguistic relevance as interpretation of the demographic timeline.</t>
  </si>
  <si>
    <t>Mongolia, northern China, Amur region and western China</t>
  </si>
  <si>
    <t>Yamnaya/Afanasievo-related groups, Chemurchek, Shirenzigou and other ancient East Asian populations</t>
  </si>
  <si>
    <t>~6000 BCE–AD 1000</t>
  </si>
  <si>
    <t>166 ancient individuals and 383 present-day individuals from 46 groups</t>
  </si>
  <si>
    <t>Genome-wide capture / sequencing; PCA; qpWave; qpAdm; qpGraph; ancestry modelling</t>
  </si>
  <si>
    <t>Afanasievo is genetically very close to Yamnaya; Yamnaya/Afanasievo-related ancestry reached western Mongolia after ~3000 BCE, later declined there and persisted farther west in Xinjiang.</t>
  </si>
  <si>
    <t>Pontic-Caspian Steppe via Afanasievo-associated eastern groups</t>
  </si>
  <si>
    <t>Altai, western Mongolia and Xinjiang</t>
  </si>
  <si>
    <t>Eastward Steppe dispersal with later regional admixture and partial ancestry loss</t>
  </si>
  <si>
    <t>After ~3000 BCE, with later Bronze and Iron Age continuities</t>
  </si>
  <si>
    <t>Appearance of Yamnaya/Afanasievo-related ancestry, admixture and regional turnover</t>
  </si>
  <si>
    <t>The authors interpret the genetic links as evidence for movement of Yamnaya descendants into Inner Asia.</t>
  </si>
  <si>
    <t>The authors argue that the demographic evidence adds weight to a migration-mediated spread of proto-Tocharian; this remains an interdisciplinary inference.</t>
  </si>
  <si>
    <t>Ancestry estimates are direct genetic results; the Tocharian link is author interpretation.</t>
  </si>
  <si>
    <t>East Asian ancient-DNA sampling is uneven, with several small or singleton archaeological groups; most evidence is east of the core Yamnaya zone.</t>
  </si>
  <si>
    <t>Some qpAdm models are equally plausible and closely related sources can be difficult to distinguish; cultural association does not guarantee matching ancestry.</t>
  </si>
  <si>
    <t>Supplies the principal eastward case study and an explicit, qualified Tocharian interpretation.</t>
  </si>
  <si>
    <t>pp. 1, 4–6</t>
  </si>
  <si>
    <t>An Afanasievo-associated child without Yamnaya ancestry illustrates culture–ancestry non-equivalence.</t>
  </si>
  <si>
    <t>Central, eastern, western and southern Europe</t>
  </si>
  <si>
    <t>Yamnaya proxies; Corded Ware; Bell Beaker; Neolithic and Bronze Age Europeans</t>
  </si>
  <si>
    <t>Late Neolithic to Bronze Age, focused on the third millennium BCE</t>
  </si>
  <si>
    <t>Published genome-wide and uniparental datasets; mtDNA phylogeny includes 695 samples; analysis-specific sample sizes vary</t>
  </si>
  <si>
    <t>PCA; qpAdm; outgroup f3; mtDNA and Y-chromosome analysis; autosome-versus-X ancestry comparison</t>
  </si>
  <si>
    <t>Steppe-related ancestry is highest in several Corded Ware groups and is more strongly male-biased there than in Bell Beaker groups; no comparable significant Steppe input is detected in the pooled mitochondrial gene pool.</t>
  </si>
  <si>
    <t>Pontic-Caspian Steppe</t>
  </si>
  <si>
    <t>Primarily central and eastern Europe, with weaker or heterogeneous signals farther west and south</t>
  </si>
  <si>
    <t>Westward, sex-biased ancestry dispersal followed by regionally variable admixture</t>
  </si>
  <si>
    <t>Mainly early to middle third millennium BCE</t>
  </si>
  <si>
    <t>High Steppe ancestry, sex-biased admixture and partial paternal-line replacement</t>
  </si>
  <si>
    <t>The authors interpret the autosomal, X-chromosomal and uniparental differences as predominantly male-driven migration, especially into Corded Ware groups.</t>
  </si>
  <si>
    <t>The discussion treats Steppe ancestry as compatible with the spread of some Indo-European languages but also notes counterexamples; language is not measured.</t>
  </si>
  <si>
    <t>Genetic proportions are direct/modelled results; migration and language connections are author interpretation.</t>
  </si>
  <si>
    <t>Coverage is strongest for central/eastern Europe and varies sharply by regional archaeological group.</t>
  </si>
  <si>
    <t>Published-data reanalysis; low X-chromosome SNP counts and large standard deviations require caution; Yamnaya Y lineages are an imperfect male-source proxy.</t>
  </si>
  <si>
    <t>Provides a focused test of sex-biased migration and cautions against assuming the same demographic process across all of Europe.</t>
  </si>
  <si>
    <t>pp. 1–3, 7–9</t>
  </si>
  <si>
    <t>Language discussion is secondary and should not change the section classification.</t>
  </si>
  <si>
    <t>Southeastern Poland: Rzeszów Foothills, Małopolska Upland and Sokal Ridge</t>
  </si>
  <si>
    <t>Corded Ware and Bell Beaker individuals; Neolithic local and Steppe-related ancestry components</t>
  </si>
  <si>
    <t>Late third millennium BCE; individual radiocarbon dates reported</t>
  </si>
  <si>
    <t>19 genomes obtained from 53 sampled individuals (16 Corded Ware, 3 Bell Beaker); strontium for 16 individuals</t>
  </si>
  <si>
    <t>Whole-genome sequencing; PCA and ancestry analysis; mtDNA/Y haplogroups; kinship; strontium isotopes; radiocarbon dating</t>
  </si>
  <si>
    <t>Corded Ware individuals combine predominantly Steppe-associated paternal ancestry with maternal lineages linked to earlier Neolithic populations; three kin relationships include a local/non-local pair.</t>
  </si>
  <si>
    <t>Eastern Steppe-related ancestry</t>
  </si>
  <si>
    <t>Southeastern Poland</t>
  </si>
  <si>
    <t>Westward ancestry movement followed by local admixture and community-level mobility</t>
  </si>
  <si>
    <t>Corded Ware dominance after ~2800 BCE; sampled burials lie in the later third millennium BCE</t>
  </si>
  <si>
    <t>Admixture, sex-biased ancestry, kinship and isotope-based local/non-local mobility</t>
  </si>
  <si>
    <t>The authors interpret the combined evidence as a complex, regionally specific Corded Ware community rather than a homogeneous migrant population.</t>
  </si>
  <si>
    <t>Linguistic change is mentioned as part of the broader third-millennium transition; no independent language analysis is performed.</t>
  </si>
  <si>
    <t>Genomic and isotope observations are direct results; wider migration and language statements are author interpretation/background.</t>
  </si>
  <si>
    <t>A single regional transect in southeastern Poland cannot represent all Corded Ware populations.</t>
  </si>
  <si>
    <t>Small sample size and uneven genome coverage (~0.02× to 5.47×); isotope baselines and cultural labels constrain mobility interpretation.</t>
  </si>
  <si>
    <t>Adds fine-scale evidence for sex-biased ancestry, local admixture and mobility within a Corded Ware community.</t>
  </si>
  <si>
    <t>pp. 1–4 and Results/Discussion</t>
  </si>
  <si>
    <t>Useful for qualifying continent-wide replacement models with community-level complexity.</t>
  </si>
  <si>
    <t>Kierzkowo, northwestern Poland; central European comparison</t>
  </si>
  <si>
    <t>Globular Amphorae culture, earlier Neolithic farmers, Yamnaya/Steppe-related groups and Corded Ware</t>
  </si>
  <si>
    <t>GAC context before the main Steppe expansion, approximately 3400/3100–2800 BCE</t>
  </si>
  <si>
    <t>Six individuals with nuclear data at 597,573 SNPs and 11 complete Neolithic mitochondrial sequences</t>
  </si>
  <si>
    <t>Genome-wide comparison; PCA and allele-sharing statistics; mitochondrial analysis; approximate Bayesian computation of alternative demographic models</t>
  </si>
  <si>
    <t>Sampled GAC individuals are closer to earlier Neolithic groups than to populations related to Pontic-Steppe migration and lack the expected Yamnaya-derived profile.</t>
  </si>
  <si>
    <t>No supported Yamnaya-derived origin for the sampled GAC group</t>
  </si>
  <si>
    <t>Northwestern Poland / central Europe</t>
  </si>
  <si>
    <t>Local genetic continuity with eastern cultural influence, before later Steppe gene flow</t>
  </si>
  <si>
    <t>Immediately before and overlapping the start of the target period</t>
  </si>
  <si>
    <t>Continuity and absence of expected Steppe ancestry; later gene flow is not rejected</t>
  </si>
  <si>
    <t>The authors interpret GAC eastern archaeological affinities as cultural influence rather than movement of Steppe people.</t>
  </si>
  <si>
    <t>The study tests demographic expectations of Steppe/Kurgan and Anatolian language-dispersal models and stresses that language change need not track migration exactly.</t>
  </si>
  <si>
    <t>Genetic model comparison is direct; implications for Indo-European dispersal are author interpretation.</t>
  </si>
  <si>
    <t>One burial context in northwestern Poland and a small number of individuals limit geographic generalization.</t>
  </si>
  <si>
    <t>Small sample; preservation and sample-selection losses; demographic conclusions depend on the compared models and reference populations.</t>
  </si>
  <si>
    <t>Provides a negative/qualifying case showing that archaeological eastern affinity need not imply Steppe migration or linguistic identity.</t>
  </si>
  <si>
    <t>pp. 1–4, 6–8</t>
  </si>
  <si>
    <t>Use to separate cultural transmission from demic diffusion.</t>
  </si>
  <si>
    <t>Eurasia, with a focused Corded Ware–Yamnaya analysis</t>
  </si>
  <si>
    <t>Yamnaya, Corded Ware, Globular Amphora and other Eneolithic/Bronze Age groups</t>
  </si>
  <si>
    <t>Broad ancient dataset; relevant Corded Ware interval ~3000–2400 BCE</t>
  </si>
  <si>
    <t>4,248 ancient Eurasian individuals</t>
  </si>
  <si>
    <t>ancIBD hidden Markov model; GLIMPSE imputation/phasing; identity-by-descent segment analysis</t>
  </si>
  <si>
    <t>Corded Ware groups share long IBD segments, including segments up to 20 cM, with multiple Yamnaya groups; most Corded Ware ancestry has genealogical links to Yamnaya within at most a few hundred years, alongside a substantial GAC-related component.</t>
  </si>
  <si>
    <t>Pontic-Caspian Steppe plus eastern European GAC-related ancestry</t>
  </si>
  <si>
    <t>Eastern, central and northern European Corded Ware groups</t>
  </si>
  <si>
    <t>Rapid, connected westward/northward dispersal followed by admixture</t>
  </si>
  <si>
    <t>Gene flow beginning around 3000 BCE; relationships span only a few hundred years</t>
  </si>
  <si>
    <t>Recent co-ancestry, direct genealogical links and admixture</t>
  </si>
  <si>
    <t>The authors interpret long IBD sharing as inconsistent with a remote unsampled Steppe-like source separated from Yamnaya by about a millennium.</t>
  </si>
  <si>
    <t>The study provides a demographic mechanism relevant to language spread but makes no independent claim about which language sampled people spoke.</t>
  </si>
  <si>
    <t>IBD segments are direct model outputs; migration is author interpretation; any linguistic use is later synthesis.</t>
  </si>
  <si>
    <t>Results depend on which ancient individuals pass coverage thresholds and on uneven archaeological sampling.</t>
  </si>
  <si>
    <t>Reliable detection is mainly for segments &gt;8 cM and adequate coverage; SNP density, low coverage, imputation and false positives limit shorter-segment inference.</t>
  </si>
  <si>
    <t>Strengthens the immediate genealogical connection between Yamnaya and diverse Corded Ware populations.</t>
  </si>
  <si>
    <t>pp. 1, 5, 7–8</t>
  </si>
  <si>
    <t>No independent linguistic evidence.</t>
  </si>
  <si>
    <t>North and South Caucasus</t>
  </si>
  <si>
    <t>Caucasus hunter-gatherers, Maykop, Yamnaya, Catacomb, Kura-Araxes and later Caucasus populations</t>
  </si>
  <si>
    <t>~50,000 BCE–AD 1914; Bronze Age evidence is the relevant subset</t>
  </si>
  <si>
    <t>669 ancient individuals compiled; 565 ancient Caucasus individuals retained for PCA after quality control; modern comparators also used</t>
  </si>
  <si>
    <t>Systematic synthesis of published datasets; quality-controlled pooled reanalysis; PCA; D-statistics; relatedness screening</t>
  </si>
  <si>
    <t>The pooled data show early north–south differentiation, Bronze Age Steppe-related gene flow associated with Yamnaya and later admixture alongside substantial regional continuity.</t>
  </si>
  <si>
    <t>Eurasian Steppe and eastern Europe</t>
  </si>
  <si>
    <t>Caucasus populations</t>
  </si>
  <si>
    <t>Corridor-like, bidirectional interaction across and around the Caucasus</t>
  </si>
  <si>
    <t>Long-term prehistory; Yamnaya-linked signal concentrated in the Bronze Age</t>
  </si>
  <si>
    <t>Gene flow, admixture, differentiation and continuity</t>
  </si>
  <si>
    <t>The authors synthesize the Caucasus as both a barrier and migration corridor involved in the ancestry of Steppe pastoralist societies.</t>
  </si>
  <si>
    <t>Proto-Indo-Anatolian and language–genetics links are largely attributed to recent cited studies rather than independently tested.</t>
  </si>
  <si>
    <t>Pooled genetic patterns are reanalysis results; many detailed migration and language claims are synthesis or attribution to source studies.</t>
  </si>
  <si>
    <t>Extremely broad chronology; early North Caucasus and late historical sampling gaps; Bronze Age findings must be isolated from later continuity.</t>
  </si>
  <si>
    <t>Secondary data vary in coverage, laboratory pipelines and sampling; pooled PCA is descriptive; source-study overlap risks double counting.</t>
  </si>
  <si>
    <t>Provides Caucasus corridor context and a secondary cross-study check on Steppe-related gene flow.</t>
  </si>
  <si>
    <t>pp. 1–4 and Bronze Age/Conclusion sections</t>
  </si>
  <si>
    <t>Zotero issue-date metadata is later than the audit date and remains flagged for citation verification.</t>
  </si>
  <si>
    <t>Caucasus–Lower Volga, Volga, Dnipro, Pontic-Caspian Steppe and southeast Europe</t>
  </si>
  <si>
    <t>Caucasus–Lower Volga cline, Volga cline, Dnipro cline, Serednii Stih, Yamnaya, Corded Ware and Anatolian-related groups</t>
  </si>
  <si>
    <t>~6400–2000 BCE</t>
  </si>
  <si>
    <t>435 individuals (367 newly reported plus 68 with improved data); 803 libraries screened</t>
  </si>
  <si>
    <t>Genome-wide ancient DNA; PCA; qpWave/qpAdm competition framework; admixture dating; IBD and haplogroup analyses</t>
  </si>
  <si>
    <t>Caucasus–Lower Volga ancestry moved west and mixed with Dnipro/Don hunter-gatherer ancestry, contributing about four-fifths of Yamnaya ancestry; a Core Yamnaya population formed by ~4000 BCE and expanded rapidly after ~3300 BCE.</t>
  </si>
  <si>
    <t>Caucasus–Lower Volga and lower Dnipro/Don interaction zone</t>
  </si>
  <si>
    <t>Pontic-Caspian Steppe, Danube corridor, southeastern Europe and east to Kazakhstan</t>
  </si>
  <si>
    <t>Multi-stage formation followed by rapid westward and eastward expansion</t>
  </si>
  <si>
    <t>Precursors ~4500–4000 BCE; Yamnaya expansion after ~3300 BCE</t>
  </si>
  <si>
    <t>Admixture, ancestry clines, rapid demographic expansion and later local admixture</t>
  </si>
  <si>
    <t>The authors propose a lower Dnipro/Don-centred formation process and a rapid Yamnaya expansion, while acknowledging unresolved core geography.</t>
  </si>
  <si>
    <t>The authors propose proto-Indo-Anatolian unity among Caucasus–Lower Volga populations before Yamnaya formation and link later dispersals to language branching.</t>
  </si>
  <si>
    <t>Ancestry models are direct genetic results; migration routes and proto-Indo-Anatolian reconstruction are interdisciplinary author interpretations.</t>
  </si>
  <si>
    <t>More than 80% of the study samples are from Russia; lower Volga precursors and some proposed routes remain sparsely sampled.</t>
  </si>
  <si>
    <t>An unsampled CHG-related source is required in models; precise Anatolian route/source and Core Yamnaya location cannot be fixed conclusively.</t>
  </si>
  <si>
    <t>Provides the central formation-and-expansion model and the collection's strongest explicit genetics–language synthesis.</t>
  </si>
  <si>
    <t>pp. 1–7</t>
  </si>
  <si>
    <t>Use the canonical Zotero item; DHIHCURJ is an exact duplicate.</t>
  </si>
  <si>
    <t>North Pontic region, especially present-day Ukraine</t>
  </si>
  <si>
    <t>North Pontic foragers, Trypillian farmers, Usatove, Serednii Stih and Yamna</t>
  </si>
  <si>
    <t>Neolithic to Early Bronze Age; key interval ~4500–3300 BCE</t>
  </si>
  <si>
    <t>81 prehistoric North Pontic individuals; 51 direct radiocarbon dates; co-analysis with the companion Steppe dataset</t>
  </si>
  <si>
    <t>Genome-wide ancient DNA; PCA; qpAdm/ancestry modelling; radiocarbon and isotope context</t>
  </si>
  <si>
    <t>Three ancestry-bearing movements are resolved: Caucasus–Lower Volga migrants mixing with Trypillians to form Usatove, a parallel mixture with foragers forming Serednii Stih, and Yamna descent from Serednii Stih with expansion from ~3300 BCE.</t>
  </si>
  <si>
    <t>Caucasus–Lower Volga and North Pontic interaction zones</t>
  </si>
  <si>
    <t>Usatove/North Pontic sites and then wider Eurasia</t>
  </si>
  <si>
    <t>Successive westward/local mixtures followed by Yamna expansion</t>
  </si>
  <si>
    <t>~4500 BCE, ~4000 BCE formation, and ~3300 BCE expansion</t>
  </si>
  <si>
    <t>Admixture, ancestry replacement and repeated incorporation of outsiders</t>
  </si>
  <si>
    <t>The authors interpret the three waves as a flexible demographic strategy underlying Yamna success and expansion.</t>
  </si>
  <si>
    <t>Indo-European dispersal is contextual; the paper reconstructs a plausible population mechanism but does not directly identify language.</t>
  </si>
  <si>
    <t>Genetic mixtures are direct/modelled results; migration-wave framing is author interpretation; language link is contextual.</t>
  </si>
  <si>
    <t>Concentrated in the North Pontic region and dependent on site availability; the wider Eurasian expansion is inferred using companion data.</t>
  </si>
  <si>
    <t>Some proximate ancestry sources remain unclear; uneven earlier sampling and model dependence limit fine-scale route certainty.</t>
  </si>
  <si>
    <t>Supplies high-resolution evidence for Yamnaya formation immediately before, and expansion at the start of, the target period.</t>
  </si>
  <si>
    <t>pp. 1–4 and Discussion</t>
  </si>
  <si>
    <t>Mykhailivka individual (3635–3383 BCE) bridges the Serednii Stih–Yamna temporal gap.</t>
  </si>
  <si>
    <t>Bohemia, central Europe</t>
  </si>
  <si>
    <t>Pre-Corded Ware groups, Corded Ware, Bell Beaker and Únětice populations</t>
  </si>
  <si>
    <t>~4900–1600 BCE; key evidence ~2900–2400 BCE</t>
  </si>
  <si>
    <t>271 ancient human genomes</t>
  </si>
  <si>
    <t>Genome-wide ancient DNA; PCA; f-statistics/qpAdm; haplogroups; kinship and temporal population modelling</t>
  </si>
  <si>
    <t>Corded Ware appears by ~2900 BCE with high but heterogeneous Steppe ancestry not wholly derived from sampled Yamnaya; diverse females were assimilated, followed by sharp Y-chromosome changes around 2600 and 2400 BCE and later ≥40% turnover.</t>
  </si>
  <si>
    <t>Eastern Steppe-related sources and local central European groups</t>
  </si>
  <si>
    <t>Bohemia</t>
  </si>
  <si>
    <t>Westward arrival followed by local assimilation and repeated social/genetic reorganization</t>
  </si>
  <si>
    <t>~2900 BCE arrival; transformations around 2600 and 2400 BCE; later Bronze Age turnover</t>
  </si>
  <si>
    <t>Migration, admixture, sex-biased incorporation and partial population replacement</t>
  </si>
  <si>
    <t>The authors interpret the Bohemian transect as evidence for multiple migrations and changing social structures, not a single homogeneous replacement.</t>
  </si>
  <si>
    <t>The population movements could carry language, but the study does not independently determine linguistic identity.</t>
  </si>
  <si>
    <t>Genetic changes are direct/modelled results; migration and social implications are author interpretation; any language connection is later synthesis.</t>
  </si>
  <si>
    <t>One central-European region; later 2400 BCE and Bronze Age evidence lies outside the primary 3300–2600 BCE interval.</t>
  </si>
  <si>
    <t>Archaeological culture labels may not represent unified social entities; source populations remain partly unsampled and ancestry models are proxy-dependent.</t>
  </si>
  <si>
    <t>Provides a regional time transect that qualifies simple mass-replacement and single-source accounts.</t>
  </si>
  <si>
    <t>pp. 1–6</t>
  </si>
  <si>
    <t>Clearly label post-2600 BCE results as later consequences.</t>
  </si>
  <si>
    <t>Balkan Peninsula, Carpathian Basin, North Pontic Steppe and surrounding southeastern Europe</t>
  </si>
  <si>
    <t>Hunter-gatherers, Neolithic farmers, Eneolithic groups and Yamnaya-related Steppe populations</t>
  </si>
  <si>
    <t>~12,000–500 BCE; relevant Steppe contacts extend into the fourth and third millennia BCE</t>
  </si>
  <si>
    <t>225 ancient individuals (215 newly reported); 216 retained for population analysis after exclusions</t>
  </si>
  <si>
    <t>1.24-million-SNP capture; PCA; supervised/unsupervised ADMIXTURE; D-statistics; qpAdm; qpGraph; 137 new radiocarbon dates</t>
  </si>
  <si>
    <t>Intermittent genetic contact between southeastern Europe and Steppe populations occurred up to ~2,000 years before the large Steppe migrations; the dataset also documents early stages of Steppe ancestry formation and later ancestry replacement.</t>
  </si>
  <si>
    <t>North Pontic / Eurasian Steppe</t>
  </si>
  <si>
    <t>Southeastern Europe and, in later comparison, northern Europe</t>
  </si>
  <si>
    <t>Repeated east–west contact preceding larger third-millennium migration</t>
  </si>
  <si>
    <t>Early contacts before 4000 BCE; major later movements around and after 3000 BCE</t>
  </si>
  <si>
    <t>Gene flow, admixture, ancestry formation and later replacement</t>
  </si>
  <si>
    <t>The authors interpret southeastern Europe as a long-term east–west nexus rather than a corridor activated only by the Yamnaya expansion.</t>
  </si>
  <si>
    <t>The study supplies demographic context relevant to language-spread models but does not make language an empirical outcome.</t>
  </si>
  <si>
    <t>Ancestry signals are direct/modelled results; migration interpretation is author inference; linguistic use is later synthesis.</t>
  </si>
  <si>
    <t>Chronology is extremely broad and much evidence predates or postdates 3300–2600 BCE; relevant subsets must be isolated.</t>
  </si>
  <si>
    <t>Uneven preservation and coverage, thresholds for analysed individuals and proxy-based ancestry models constrain fine-scale conclusions.</t>
  </si>
  <si>
    <t>Shows that Yamnaya-era movement emerged from a longer history of Steppe–southeastern European contact.</t>
  </si>
  <si>
    <t>pp. 1–4 and Steppe-contact sections</t>
  </si>
  <si>
    <t>Do not conflate early contact with the later mass-migration phase.</t>
  </si>
  <si>
    <t>Western and central Europe, especially Iberia, central Europe and Britain</t>
  </si>
  <si>
    <t>Bell Beaker-associated individuals, Corded Ware-related Steppe ancestry and local Neolithic populations</t>
  </si>
  <si>
    <t>~4700–800 BCE; key Beaker interval ~2750–2200 BCE</t>
  </si>
  <si>
    <t>400 ancient Europeans from 136 sites, including 226 Beaker-associated individuals; combined analysis dataset 683 ancient samples</t>
  </si>
  <si>
    <t>1.23-million-SNP capture; PCA; f-statistics/qpAdm; Y-chromosome analysis; 111 direct radiocarbon dates</t>
  </si>
  <si>
    <t>Iberian and central-European Beaker groups show limited genetic affinity, but Beaker-associated migration carried high Steppe-related ancestry into Britain and replaced about 90% of its gene pool within a few hundred years.</t>
  </si>
  <si>
    <t>Central/northern European Steppe-related populations</t>
  </si>
  <si>
    <t>Western Europe, especially Britain</t>
  </si>
  <si>
    <t>Continued east-to-west dispersal with regionally different balances of cultural diffusion and migration</t>
  </si>
  <si>
    <t>From ~2750/2500 BCE, mainly after the primary Yamnaya interval</t>
  </si>
  <si>
    <t>Regional non-migration, major migration elsewhere and near-total population replacement in Britain</t>
  </si>
  <si>
    <t>The authors interpret the Beaker phenomenon as heterogeneous: cultural transmission between some regions and mass migration into others.</t>
  </si>
  <si>
    <t>The study demonstrates a later demographic mechanism that could transmit language but makes no independent language identification.</t>
  </si>
  <si>
    <t>Genetic affinities and turnover are direct/modelled results; cultural-diffusion versus migration conclusions are author interpretation.</t>
  </si>
  <si>
    <t>Most decisive British evidence postdates 2600 BCE and represents consequences of earlier Steppe dispersal, not core Yamnaya movement.</t>
  </si>
  <si>
    <t>Regional sample imbalance and proxy ancestry sources limit exact origins; shared artefacts cannot be equated with shared population identity.</t>
  </si>
  <si>
    <t>Provides a strong later consequence and a clear demonstration that material-culture spread can be demic in one region and cultural in another.</t>
  </si>
  <si>
    <t>pp. 1–5</t>
  </si>
  <si>
    <t>Use as a late-target/post-target consequence, not as direct evidence of Yamnaya speakers.</t>
  </si>
  <si>
    <t>Europe and central Asia</t>
  </si>
  <si>
    <t>Yamnaya, Corded Ware, Afanasievo and other Bronze Age Eurasian groups</t>
  </si>
  <si>
    <t>Broadly ~3000–1000 BCE, with relevant early Bronze Age samples</t>
  </si>
  <si>
    <t>101 low-coverage ancient Eurasian genomes; 19 exceed 1× average coverage</t>
  </si>
  <si>
    <t>Low-coverage whole-genome sequencing; PCA; ADMIXTURE; f-statistics; genomic-distance and haplogroup analysis</t>
  </si>
  <si>
    <t>Corded Ware groups show substantial Yamnaya-related ancestry, while Afanasievo individuals in the Altai are genetically close to Yamnaya, documenting both westward and eastward Steppe-associated dispersals.</t>
  </si>
  <si>
    <t>Central/northern Europe and the Altai / central Asia</t>
  </si>
  <si>
    <t>Large-scale bidirectional expansion followed by mixture and regional replacement</t>
  </si>
  <si>
    <t>Early third millennium BCE and later Bronze Age consequences</t>
  </si>
  <si>
    <t>Ancestry appearance, admixture and population replacement</t>
  </si>
  <si>
    <t>The authors interpret the genomic transformations as large-scale migrations that reshaped Bronze Age Eurasia.</t>
  </si>
  <si>
    <t>The demographic findings are described as consistent with a hypothesized Early Bronze Age spread of Indo-European languages, not as proof of speech.</t>
  </si>
  <si>
    <t>Genetic affinities are direct/modelled results; migration and Indo-European conclusions are author interpretations.</t>
  </si>
  <si>
    <t>Eurasia-wide scope and broad chronology reduce fine regional resolution; several archaeological groups have few individuals.</t>
  </si>
  <si>
    <t>Low and uneven genome coverage; source populations are proxies and cultural labels may encompass heterogeneous populations.</t>
  </si>
  <si>
    <t>Foundational evidence for both westward Corded Ware-related and eastward Afanasievo-related dispersals.</t>
  </si>
  <si>
    <t>Use later samples only where they clarify the consequences of early Steppe movement.</t>
  </si>
  <si>
    <t>Central and northern Europe with Yamnaya samples from Samara</t>
  </si>
  <si>
    <t>Yamnaya, Corded Ware, Late Neolithic/Early Bronze Age Europeans and earlier farmers/hunter-gatherers</t>
  </si>
  <si>
    <t>Mainly ~6000–1000 BCE; key Yamnaya/Corded Ware comparison ~3300–2500 BCE</t>
  </si>
  <si>
    <t>69 newly analysed ancient Europeans (94 libraries); combined analysis includes 25 previously published ancient individuals</t>
  </si>
  <si>
    <t>390,000-SNP capture; PCA; ADMIXTURE; f3/f4 statistics; ancestry modelling; mtDNA and Y haplogroups</t>
  </si>
  <si>
    <t>German Corded Ware individuals derive roughly three-quarters of their ancestry from a Yamnaya-related source, indicating a rapid and large population influx from the eastern Steppe around the early third millennium BCE.</t>
  </si>
  <si>
    <t>Pontic-Caspian Steppe / Samara-related source</t>
  </si>
  <si>
    <t>Central Europe and farther west/north</t>
  </si>
  <si>
    <t>Rapid westward migration and admixture with local Neolithic populations</t>
  </si>
  <si>
    <t>Approximately 3000–2500 BCE</t>
  </si>
  <si>
    <t>Large ancestry turnover, admixture and participation of both sexes</t>
  </si>
  <si>
    <t>The authors interpret the ancestry shift as evidence for a major migration from the Steppe into central Europe.</t>
  </si>
  <si>
    <t>The demographic migration is presented as supporting a Steppe-origin model for at least some Indo-European languages; the paper explicitly notes that ancient DNA is silent on language itself.</t>
  </si>
  <si>
    <t>Ancestry proportions are direct/modelled results; the Indo-European connection is author interpretation.</t>
  </si>
  <si>
    <t>Samara Yamnaya may not be the direct source population; southern-European and Asian language histories are not resolved.</t>
  </si>
  <si>
    <t>Small group sizes, uneven coverage and proxy-source choice limit exact route and ancestry estimates.</t>
  </si>
  <si>
    <t>Foundational evidence for large-scale westward Steppe migration and a carefully qualified demographic–linguistic interpretation.</t>
  </si>
  <si>
    <t>pp. 1–4</t>
  </si>
  <si>
    <t>Preserve the authors' explicit statement that DNA cannot reveal spoken language.</t>
  </si>
  <si>
    <t>Analytical Theme</t>
  </si>
  <si>
    <t>Analytical Role</t>
  </si>
  <si>
    <t>Date / Samples</t>
  </si>
  <si>
    <t>Genetic / Demographic Result</t>
  </si>
  <si>
    <t>Migration Evidence</t>
  </si>
  <si>
    <t>Connected Populations</t>
  </si>
  <si>
    <t>Language Interpretation</t>
  </si>
  <si>
    <t>Main Interpretation</t>
  </si>
  <si>
    <t>Limitations</t>
  </si>
  <si>
    <t>Evidence Pointer</t>
  </si>
  <si>
    <t>Yamnaya formation and launch</t>
  </si>
  <si>
    <t>CORE</t>
  </si>
  <si>
    <t>CLV ancestry moved west and mixed with Dnipro/Don-related ancestry to form the dominant ancestry of Yamnaya; expansion follows at about 3300 BCE.</t>
  </si>
  <si>
    <t>Three successive migration/admixture waves connect CLV migrants, Usatove, Serednii Stih and the eventual Yamna expansion.</t>
  </si>
  <si>
    <t>Migration chronology</t>
  </si>
  <si>
    <t>CHRONOLOGICAL FRAMEWORK</t>
  </si>
  <si>
    <t>Cross-regional admixture dates place Steppe-ancestry formation before the archaeological Yamnaya horizon and dispersal around/after 3000 BCE.</t>
  </si>
  <si>
    <t>Pre-expansion contact</t>
  </si>
  <si>
    <t>CHRONOLOGICAL CONTEXT</t>
  </si>
  <si>
    <t>Southeastern Europe shows repeated Steppe contact long before the later large-scale third-millennium movements.</t>
  </si>
  <si>
    <t>Westward expansion</t>
  </si>
  <si>
    <t>A major Yamnaya-related ancestry influx accounts for roughly three-quarters of German Corded Ware ancestry and indicates rapid migration into central Europe.</t>
  </si>
  <si>
    <t>Bidirectional expansion</t>
  </si>
  <si>
    <t>Yamnaya-related ancestry connects Corded Ware westward and Afanasievo eastward, establishing a Eurasia-wide expansion pattern.</t>
  </si>
  <si>
    <t>Long IBD segments provide recent genealogical links between Yamnaya and diverse Corded Ware groups within only a few hundred years.</t>
  </si>
  <si>
    <t>Regional transformation</t>
  </si>
  <si>
    <t>REGIONAL QUALIFIER</t>
  </si>
  <si>
    <t>Bohemia records Steppe-ancestry arrival followed by female assimilation and repeated Y-chromosome and population turnover rather than one uniform replacement.</t>
  </si>
  <si>
    <t>Local mobility and admixture</t>
  </si>
  <si>
    <t>Southeastern Polish Corded Ware communities combine Steppe-associated paternal ancestry, local maternal ancestry and local/non-local kinship.</t>
  </si>
  <si>
    <t>Sex-biased migration</t>
  </si>
  <si>
    <t>Autosomal, X-chromosomal and uniparental comparisons indicate stronger male bias in Corded Ware than Bell Beaker groups, with substantial regional variation.</t>
  </si>
  <si>
    <t>Later western consequences</t>
  </si>
  <si>
    <t>LATER CONSEQUENCE</t>
  </si>
  <si>
    <t>Bell Beaker spread was cultural between some regions but demographic into Britain, where Steppe-related newcomers replaced about 90% of the gene pool.</t>
  </si>
  <si>
    <t>Culture versus migration</t>
  </si>
  <si>
    <t>QUALIFYING / NEGATIVE CASE</t>
  </si>
  <si>
    <t>Globular Amphorae individuals lack the expected Yamnaya-derived profile, so eastern archaeological affinity need not represent movement of Steppe people.</t>
  </si>
  <si>
    <t>Eastward expansion</t>
  </si>
  <si>
    <t>Afanasievo-related ancestry closely related to Yamnaya reached the Altai, western Mongolia and Xinjiang after about 3000 BCE.</t>
  </si>
  <si>
    <t>Caucasus corridor</t>
  </si>
  <si>
    <t>SECONDARY CONTEXT</t>
  </si>
  <si>
    <t>Pooled Caucasus data support Bronze Age Steppe gene flow and long-term admixture/continuity but provide secondary, overlapping evidence rather than a unique route.</t>
  </si>
  <si>
    <t>Northern Eurasian context</t>
  </si>
  <si>
    <t>Western Siberian–northeastern European gene flow predates and overlaps the Yamnaya horizon, adding context rather than a direct Yamnaya migration transect.</t>
  </si>
  <si>
    <t>Cross-Study Theme</t>
  </si>
  <si>
    <t>Convergent Evidence</t>
  </si>
  <si>
    <t>Key Studies</t>
  </si>
  <si>
    <t>Qualification / Tension</t>
  </si>
  <si>
    <t>Geographic Strength</t>
  </si>
  <si>
    <t>Language Status</t>
  </si>
  <si>
    <t>Main Evidence Gap</t>
  </si>
  <si>
    <t>Recent studies converge on a multi-stage process: Caucasus–Lower Volga ancestry mixed with North Pontic/Dnipro-related ancestry before a rapid Yamna expansion near 3300 BCE.</t>
  </si>
  <si>
    <t>The exact core formation zone, unsampled source populations and routes toward Anatolia remain unresolved and model-dependent.</t>
  </si>
  <si>
    <t>Strongest in the North Pontic, Volga and Russian Steppe datasets, but sampling is uneven.</t>
  </si>
  <si>
    <t>Earlier formation (~4500–4000 BCE) plus direct target-period launch (~3300 BCE)</t>
  </si>
  <si>
    <t>Explicit in Lazaridis and Chintalapati; indirect in Nikitin. Language remains an interdisciplinary interpretation.</t>
  </si>
  <si>
    <t>More direct lower-Volga, Don/Dnipro and Anatolian-route samples are needed.</t>
  </si>
  <si>
    <t>Westward expansion into Europe</t>
  </si>
  <si>
    <t>Ancestry proportions, population turnover and IBD all support rapid movement of Yamnaya-related people into central and northern Europe around 3000 BCE.</t>
  </si>
  <si>
    <t>Haak et al. (2015); Allentoft et al. (2015); Ringbauer et al. (2024); Papac et al. (2021)</t>
  </si>
  <si>
    <t>Known Yamnaya samples are not necessarily the sole direct source; Corded Ware populations rapidly incorporated local ancestry and were not socially homogeneous.</t>
  </si>
  <si>
    <t>Strong for Germany, Bohemia and several Corded Ware groups; less even farther south and west.</t>
  </si>
  <si>
    <t>Directly within 3300–2600 BCE, with immediate later transformations</t>
  </si>
  <si>
    <t>Explicit in Haak and Allentoft; indirect in Ringbauer and Papac.</t>
  </si>
  <si>
    <t>Precise migration corridors, source substructure and the balance of mass migration versus repeated smaller movements remain uncertain.</t>
  </si>
  <si>
    <t>Sex-biased movement and local mobility</t>
  </si>
  <si>
    <t>Multiple studies support male-biased Steppe ancestry alongside incorporation of local women; isotope and kinship evidence shows that migration operated through local communities.</t>
  </si>
  <si>
    <t>Scorrano et al. (2021); Linderholm et al. (2020); Papac et al. (2021)</t>
  </si>
  <si>
    <t>The strength of sex bias varies by region and archaeological group; X-chromosome estimates have large uncertainty and low SNP counts.</t>
  </si>
  <si>
    <t>Best resolved in central Europe and southeastern Poland.</t>
  </si>
  <si>
    <t>Mostly ~2900–2400 BCE; spans the target period and immediate aftermath</t>
  </si>
  <si>
    <t>Indirect demographic mechanism only; no study identifies the language spoken by migrants or local spouses.</t>
  </si>
  <si>
    <t>Larger balanced cemetery samples and stronger isotope baselines are needed outside central Europe.</t>
  </si>
  <si>
    <t>Eastward expansion into Inner Asia</t>
  </si>
  <si>
    <t>Afanasievo's close relationship to Yamnaya and the appearance of this ancestry in the Altai, western Mongolia and Xinjiang support an eastward dispersal after ~3000 BCE.</t>
  </si>
  <si>
    <t>Wang et al. (2021); Allentoft et al. (2015); Chintalapati et al. (2022)</t>
  </si>
  <si>
    <t>Steppe ancestry later declined in parts of Mongolia, and an Afanasievo archaeological association did not always correspond to Yamnaya ancestry.</t>
  </si>
  <si>
    <t>Good broad signal across the Altai and western Mongolia, but sparse fine-scale sampling and route intermediates.</t>
  </si>
  <si>
    <t>Target-period movement followed by later Bronze/Iron Age persistence and turnover</t>
  </si>
  <si>
    <t>Explicit proto-Tocharian interpretation in Wang; broader Indo-European compatibility in Allentoft and Chintalapati.</t>
  </si>
  <si>
    <t>Intermediate-route samples and tighter chronology are needed to connect demographic movement to specific Tocharian branches.</t>
  </si>
  <si>
    <t>Culture, continuity and regionally variable replacement</t>
  </si>
  <si>
    <t>GAC continuity and geographically variable Beaker ancestry show that similar material culture can spread without equivalent population movement, while other regions experienced major replacement.</t>
  </si>
  <si>
    <t>Tassi et al. (2017); Olalde et al. (2018); Papac et al. (2021)</t>
  </si>
  <si>
    <t>The strongest Beaker replacement evidence is later than the core Yamnaya interval and should not be projected backward.</t>
  </si>
  <si>
    <t>Strong case studies in northwestern Poland, central Europe and Britain; not a universal Eurasian pattern.</t>
  </si>
  <si>
    <t>Pre-target continuity plus late-target and post-target consequences</t>
  </si>
  <si>
    <t>Tassi explicitly evaluates language-dispersal models; Olalde and Papac contribute indirect demographic constraints.</t>
  </si>
  <si>
    <t>More matched archaeological–genetic regional transects are needed to separate cultural transmission, elite dominance and population replacement.</t>
  </si>
  <si>
    <t>Caucasus and northern Eurasian context</t>
  </si>
  <si>
    <t>Long-term Steppe–Caucasus and Siberia–northeastern Europe gene flow complicates a single-origin, single-wave narrative and supplies context for Yamnaya ancestry formation.</t>
  </si>
  <si>
    <t>Dzhaubermezov et al. (2026); Wong et al. (2017); Lazaridis et al. (2025); Nikitin et al. (2025)</t>
  </si>
  <si>
    <t>Two contributions are secondary or modern-population-led, and their broad chronology does not isolate direct Yamnaya movement.</t>
  </si>
  <si>
    <t>Uneven: growing Steppe data, sparse early North Caucasus/lower-Volga coverage and indirect northern Eurasian sampling.</t>
  </si>
  <si>
    <t>Mainly earlier ancestry context, with Bronze Age corridor evidence</t>
  </si>
  <si>
    <t>Mostly background; explicit language reconstruction comes primarily from Lazaridis rather than the contextual studies.</t>
  </si>
  <si>
    <t>Independent ancient samples from the North Caucasus, lower Volga and northern Eurasian corridors remain limited.</t>
  </si>
  <si>
    <t>Migration and Indo-European language dispersal</t>
  </si>
  <si>
    <t>The corpus repeatedly treats rapid Steppe-related population spread as a plausible demographic mechanism compatible with Indo-European dispersal.</t>
  </si>
  <si>
    <t>Lazaridis et al. (2025); Haak et al. (2015); Allentoft et al. (2015); Wang et al. (2021); Chintalapati et al. (2022); Tassi et al. (2017)</t>
  </si>
  <si>
    <t>Ancient DNA cannot reveal speech; migration need not cause complete language replacement, and language can spread without equivalent genetic turnover.</t>
  </si>
  <si>
    <t>Demographic evidence is strongest in the Steppe and central Europe; linguistic linkage is weakest where independent linguistic evidence is absent.</t>
  </si>
  <si>
    <t>Mixed: earlier language-root hypotheses, target-period dispersal and later branch consequences</t>
  </si>
  <si>
    <t>The collection contains no direct linguistic dataset; branching, borrowing, multilingualism and transmission mechanisms require independent linguistic evidence.</t>
  </si>
  <si>
    <t>Stage 7 is complete: the review is organised into six argument-led sections and 19 planned synthesis steps.</t>
  </si>
  <si>
    <t>The sequence moves from evidence rules to westward/eastward movement, regional mechanisms, language interpretation, limits and final synthesis.</t>
  </si>
  <si>
    <t>Every planned claim is linked to existing studies and evidence pointers, with earlier, target-period and later evidence kept distinct.</t>
  </si>
  <si>
    <t>This is an outline only; no review prose has been drafted. Stage 8 will begin only if drafting is explicitly requested.</t>
  </si>
  <si>
    <t>Areas of agreement</t>
  </si>
  <si>
    <t>Tensions / disagreements</t>
  </si>
  <si>
    <t>Evidence gaps</t>
  </si>
  <si>
    <t>Major outline sections</t>
  </si>
  <si>
    <t>Argument steps</t>
  </si>
  <si>
    <t>Theme identification status</t>
  </si>
  <si>
    <t>Stage 5 validated seven evidence-driven recurring themes from the 15 included full-text studies. All included studies are represented; no new search and no review drafting.</t>
  </si>
  <si>
    <t>Disagreement / gap status</t>
  </si>
  <si>
    <t>Stage 6 mapped six cross-study agreements, seven tensions/disagreements and seven literature-demonstrated gaps. Interpretive disagreement is separated from regional variation, model uncertainty and missing evidence; no new search or review drafting.</t>
  </si>
  <si>
    <t>Argument outline status</t>
  </si>
  <si>
    <t>COMPLETE — OUTLINE ONLY</t>
  </si>
  <si>
    <t>Stage 7 created a six-section, 19-step argument structure linked to the synthesis, disagreement/gap map and evidence records. No new search and no literature-review prose drafting.</t>
  </si>
  <si>
    <t>Theme Decision</t>
  </si>
  <si>
    <t>Studies Cited</t>
  </si>
  <si>
    <t>Assigned Focus</t>
  </si>
  <si>
    <t>Stage 5 Evidence Boundary</t>
  </si>
  <si>
    <t>Lazaridis et al. (2025); Nikitin et al. (2025); Chintalapati et al. (2022); Mathieson et al. (2018)</t>
  </si>
  <si>
    <t>RETAIN — recurring</t>
  </si>
  <si>
    <t>Migration foundation + language inference</t>
  </si>
  <si>
    <t>Uses ancestry formation and chronology only where they explain later movement; it does not create a separate origins section or treat genetic ancestry as language.</t>
  </si>
  <si>
    <t>Migration pattern</t>
  </si>
  <si>
    <t>Treats population-genetic change as evidence of westward movement, while allowing for local admixture and source uncertainty.</t>
  </si>
  <si>
    <t>Migration mechanism</t>
  </si>
  <si>
    <t>Explains how movement operated through sex bias, kinship and local incorporation; it does not assume one mechanism across all regions.</t>
  </si>
  <si>
    <t>Migration pattern + language inference</t>
  </si>
  <si>
    <t>Uses eastward demographic evidence as compatible with language-dispersal hypotheses; it does not identify a spoken language from DNA.</t>
  </si>
  <si>
    <t>Migration qualifier</t>
  </si>
  <si>
    <t>Tests whether material-culture change corresponds to demographic movement; culture is included only as a migration qualifier.</t>
  </si>
  <si>
    <t>Migration context</t>
  </si>
  <si>
    <t>Retains earlier and broader gene flow only as context needed to interpret target-period Yamnaya movement across Eurasia.</t>
  </si>
  <si>
    <t>Language synthesis</t>
  </si>
  <si>
    <t>Separates direct genetic/demographic findings from authorial or interdisciplinary linguistic interpretation in every claim.</t>
  </si>
  <si>
    <t>Stage 6 — Agreements, Tensions and Demonstrated Gaps</t>
  </si>
  <si>
    <t>Direct linguistic datasets</t>
  </si>
  <si>
    <t>Type</t>
  </si>
  <si>
    <t>Topic</t>
  </si>
  <si>
    <t>Evidence-Based Finding</t>
  </si>
  <si>
    <t>Studies / Evidence</t>
  </si>
  <si>
    <t>Geographic Scope</t>
  </si>
  <si>
    <t>Status / Nature</t>
  </si>
  <si>
    <t>Implication for Review</t>
  </si>
  <si>
    <t>Genetic–Linguistic Boundary</t>
  </si>
  <si>
    <t>AGREEMENT</t>
  </si>
  <si>
    <t>Formation preceded rapid expansion</t>
  </si>
  <si>
    <t>Independent genetic models converge on multi-stage Steppe ancestry formation before a rapid Yamnaya expansion near 3300 BCE.</t>
  </si>
  <si>
    <t>Lower Volga, North Pontic and southeastern European interaction zones</t>
  </si>
  <si>
    <t>Earlier formation/contact used to explain the target-period launch</t>
  </si>
  <si>
    <t>STRONG CONVERGENCE</t>
  </si>
  <si>
    <t>Frame migration as a sequence of formation, contact and launch rather than a single instantaneous event.</t>
  </si>
  <si>
    <t>Language-root proposals remain authorial/interdisciplinary interpretations of the demographic model.</t>
  </si>
  <si>
    <t>Synthesis Themes row 2; Evidence Extraction rows 3, 10, 11 and 13</t>
  </si>
  <si>
    <t>Rapid westward migration into Europe</t>
  </si>
  <si>
    <t>Ancestry proportions, population turnover and IBD evidence independently support rapid westward movement of Yamnaya-related people into central and northern Europe.</t>
  </si>
  <si>
    <t>Central and northern Europe, especially Corded Ware contexts</t>
  </si>
  <si>
    <t>Primarily within 3300–2600 BCE, with immediate later transformations</t>
  </si>
  <si>
    <t>Treat large-scale westward movement as the best-supported migration finding while preserving regional variation.</t>
  </si>
  <si>
    <t>Genetic migration supplies a demographic mechanism compatible with language dispersal, not proof of the language spoken.</t>
  </si>
  <si>
    <t>Synthesis Themes row 3; Evidence Extraction rows 8, 12, 15 and 16</t>
  </si>
  <si>
    <t>Eastward Yamnaya/Afanasievo-related dispersal</t>
  </si>
  <si>
    <t>Genome-wide ancestry and comparative chronology support eastward movement of a population closely related to Yamnaya toward the Altai and Inner Asia after about 3000 BCE.</t>
  </si>
  <si>
    <t>Altai, western Mongolia, Xinjiang and wider Inner Asia</t>
  </si>
  <si>
    <t>Target-period movement followed by later Bronze and Iron Age change</t>
  </si>
  <si>
    <t>MODERATE–STRONG CONVERGENCE</t>
  </si>
  <si>
    <t>Include eastward dispersal as a second major direction, while stating that intermediate corridors remain poorly resolved.</t>
  </si>
  <si>
    <t>The proto-Tocharian connection is an interpretation offered by authors, not a linguistic observation in DNA.</t>
  </si>
  <si>
    <t>Synthesis Themes row 5; Evidence Extraction rows 3, 4 and 15</t>
  </si>
  <si>
    <t>Migration involved admixture and regional restructuring</t>
  </si>
  <si>
    <t>Regional datasets show that Steppe-related migration was followed by local admixture, kinship restructuring, sex bias and variable population turnover rather than one uniform replacement process.</t>
  </si>
  <si>
    <t>Papac et al. (2021); Linderholm et al. (2020); Scorrano et al. (2021); Olalde et al. (2018)</t>
  </si>
  <si>
    <t>Central Europe, southeastern Poland, western Europe and Britain</t>
  </si>
  <si>
    <t>Target period and immediate later consequences</t>
  </si>
  <si>
    <t>CONVERGENT WITH REGIONAL VARIATION</t>
  </si>
  <si>
    <t>Discuss migration mechanisms comparatively and avoid generalising one cemetery or region to all Eurasia.</t>
  </si>
  <si>
    <t>Possible language transmission cannot be inferred from sex bias, kinship or ancestry turnover alone.</t>
  </si>
  <si>
    <t>Synthesis Themes rows 4 and 6; Evidence Extraction rows 5, 6, 12 and 14</t>
  </si>
  <si>
    <t>Material culture and population movement are not equivalent</t>
  </si>
  <si>
    <t>Genetic continuity in some archaeological contexts and major ancestry turnover in others show that similar material-culture change can reflect different demographic processes.</t>
  </si>
  <si>
    <t>Northwestern Poland, central Europe and Britain</t>
  </si>
  <si>
    <t>CONVERGENT QUALIFICATION</t>
  </si>
  <si>
    <t>Use archaeology to contextualise movement, but do not treat archaeological similarity as proof of migration.</t>
  </si>
  <si>
    <t>Cultural spread cannot by itself establish either population movement or language replacement.</t>
  </si>
  <si>
    <t>Synthesis Themes row 6; Evidence Extraction rows 7, 12 and 14</t>
  </si>
  <si>
    <t>Ancient DNA informs demography, not speech</t>
  </si>
  <si>
    <t>Across the corpus, genetic results can support demographic scenarios relevant to Indo-European dispersal, but no study directly observes the language spoken by sampled individuals.</t>
  </si>
  <si>
    <t>Eurasia</t>
  </si>
  <si>
    <t>Earlier language-root hypotheses, target-period dispersal and later branch consequences</t>
  </si>
  <si>
    <t>METHODOLOGICAL CONSENSUS</t>
  </si>
  <si>
    <t>Separate every direct genetic result from migration interpretation and from linguistic inference.</t>
  </si>
  <si>
    <t>This is the central mandatory boundary: demographic compatibility is not direct linguistic evidence.</t>
  </si>
  <si>
    <t>Synthesis Themes row 8; Synthesis Table columns L–M</t>
  </si>
  <si>
    <t>TENSION</t>
  </si>
  <si>
    <t>Core formation geography and precise routes</t>
  </si>
  <si>
    <t>Studies support a multi-stage formation process but differ in geographic emphasis and depend on unsampled or proxy source populations; precise routes toward the Yamnaya horizon and Anatolia remain model-dependent.</t>
  </si>
  <si>
    <t>Lower Volga, Dnipro/Don, North Pontic, southeastern Europe and proposed Anatolian corridors</t>
  </si>
  <si>
    <t>Mostly earlier context leading into the target-period expansion</t>
  </si>
  <si>
    <t>MODEL UNCERTAINTY — NOT A SIMPLE CONTRADICTION</t>
  </si>
  <si>
    <t>Present the broad sequence as convergent but label the exact core zone and routes unresolved.</t>
  </si>
  <si>
    <t>Competing language-root locations cannot be resolved by the available genetic models alone.</t>
  </si>
  <si>
    <t>Synthesis Themes row 2; Synthesis Table rows 2–5</t>
  </si>
  <si>
    <t>Relationship between sampled Yamnaya and Corded Ware</t>
  </si>
  <si>
    <t>Corded Ware groups share substantial Yamnaya-related ancestry and recent genealogical links, yet sampled Yamnaya populations may not be the sole or exact direct source and Corded Ware populations were heterogeneous.</t>
  </si>
  <si>
    <t>Haak et al. (2015); Ringbauer et al. (2024); Papac et al. (2021); Allentoft et al. (2015)</t>
  </si>
  <si>
    <t>Central and northern Europe</t>
  </si>
  <si>
    <t>Mainly around 3000–2600 BCE</t>
  </si>
  <si>
    <t>ANCESTRY-RELATIONSHIP TENSION</t>
  </si>
  <si>
    <t>Avoid collapsing 'Yamnaya-related ancestry' into descent from one sampled Yamnaya group.</t>
  </si>
  <si>
    <t>A demographic relationship does not establish that Corded Ware and Yamnaya communities spoke the same language.</t>
  </si>
  <si>
    <t>Synthesis Themes row 3; Synthesis Table rows 6–9</t>
  </si>
  <si>
    <t>Scale and mechanism of westward migration</t>
  </si>
  <si>
    <t>Large ancestry shifts support major movement, while regional studies reveal repeated migration, local incorporation and different balances of replacement and admixture.</t>
  </si>
  <si>
    <t>Haak et al. (2015); Papac et al. (2021); Linderholm et al. (2020); Scorrano et al. (2021); Olalde et al. (2018)</t>
  </si>
  <si>
    <t>Central, northern and western Europe</t>
  </si>
  <si>
    <t>Target period through immediate later consequences</t>
  </si>
  <si>
    <t>REGIONAL VARIATION</t>
  </si>
  <si>
    <t>Compare mass-migration evidence with community-scale mechanisms instead of choosing one universal model.</t>
  </si>
  <si>
    <t>The scale of genetic turnover does not directly measure the scale or mechanism of language replacement.</t>
  </si>
  <si>
    <t>Synthesis Themes rows 3, 4 and 6; Synthesis Table rows 6 and 9–12</t>
  </si>
  <si>
    <t>Strength and generalisability of sex bias</t>
  </si>
  <si>
    <t>Male-biased Steppe ancestry is supported in several European datasets, but its magnitude varies by region and archaeological group and some X-chromosome estimates are imprecise.</t>
  </si>
  <si>
    <t>Central Europe and southeastern Poland</t>
  </si>
  <si>
    <t>Mostly about 2900–2400 BCE</t>
  </si>
  <si>
    <t>METHOD AND REGIONAL VARIATION</t>
  </si>
  <si>
    <t>Treat sex bias as a recurring mechanism with geographically limited evidence, not a Eurasia-wide constant.</t>
  </si>
  <si>
    <t>Sex-biased ancestry cannot identify the languages used within households or communities.</t>
  </si>
  <si>
    <t>Synthesis Themes row 4; Evidence Extraction rows 5, 6 and 12</t>
  </si>
  <si>
    <t>Eastward route and archaeological correspondence</t>
  </si>
  <si>
    <t>Afanasievo-related ancestry supports eastward dispersal, but intermediate routes are sparsely sampled and an Afanasievo archaeological label does not always correspond to Yamnaya-related ancestry.</t>
  </si>
  <si>
    <t>Altai, western Mongolia, Xinjiang and unsampled intermediate corridors</t>
  </si>
  <si>
    <t>After about 3000 BCE, with later persistence and turnover</t>
  </si>
  <si>
    <t>ROUTE AND CULTURE TENSION</t>
  </si>
  <si>
    <t>State the broad eastward signal confidently but keep fine-scale pathways and cultural equivalence provisional.</t>
  </si>
  <si>
    <t>A possible proto-Tocharian link remains an authorial interpretation requiring independent linguistic support.</t>
  </si>
  <si>
    <t>Chronological comparability across studies</t>
  </si>
  <si>
    <t>Some studies directly sample 3300–2600 BCE, while others use substantially earlier ancestry context or later consequences; broad datasets can obscure target-period timing.</t>
  </si>
  <si>
    <t>Mathieson et al. (2018); Wong et al. (2017); Dzhaubermezov et al. (2026); Olalde et al. (2018); Chintalapati et al. (2022)</t>
  </si>
  <si>
    <t>Multiple Eurasian regions</t>
  </si>
  <si>
    <t>Earlier context, direct target period and later consequences must remain separate</t>
  </si>
  <si>
    <t>CHRONOLOGICAL TENSION</t>
  </si>
  <si>
    <t>Label evidence by chronological role and do not project later replacement backward into the Yamnaya interval.</t>
  </si>
  <si>
    <t>Later linguistic distributions cannot be treated as direct evidence of target-period speech.</t>
  </si>
  <si>
    <t>Synthesis Table column K; Evidence Extraction columns F, M and S</t>
  </si>
  <si>
    <t>Degree of Indo-European linguistic inference</t>
  </si>
  <si>
    <t>Six studies make explicit language-related arguments, seven provide indirect demographic relevance and two are background; the strength and specificity of linguistic interpretation therefore varies markedly.</t>
  </si>
  <si>
    <t>All 15 included studies</t>
  </si>
  <si>
    <t>Mixed chronological roles</t>
  </si>
  <si>
    <t>INTERPRETIVE DIVERGENCE</t>
  </si>
  <si>
    <t>Weight linguistic claims by provenance and do not make the whole corpus appear equally supportive of one language model.</t>
  </si>
  <si>
    <t>None of the categories is direct linguistic evidence; all require linguistic or archaeological interpretation beyond DNA.</t>
  </si>
  <si>
    <t>Synthesis Themes G8; Synthesis Table columns L–M</t>
  </si>
  <si>
    <t>GAP</t>
  </si>
  <si>
    <t>Lower-Volga, North-Pontic and Anatolian-route sampling</t>
  </si>
  <si>
    <t>The analysed literature repeatedly identifies sparse direct sampling in the lower Volga, Don/Dnipro, North Caucasus and proposed routes toward Anatolia.</t>
  </si>
  <si>
    <t>Lazaridis et al. (2025); Nikitin et al. (2025); Dzhaubermezov et al. (2026)</t>
  </si>
  <si>
    <t>Lower Volga, Don/Dnipro, North Caucasus and Anatolian corridors</t>
  </si>
  <si>
    <t>Earlier formation through target-period launch</t>
  </si>
  <si>
    <t>GEOGRAPHIC SAMPLING GAP</t>
  </si>
  <si>
    <t>This limits precise reconstruction of formation zones and departure routes.</t>
  </si>
  <si>
    <t>It also limits attempts to compare demographic routes with proposed language-root locations.</t>
  </si>
  <si>
    <t>Synthesis Themes rows 2 and 7</t>
  </si>
  <si>
    <t>Inner Asian route intermediates</t>
  </si>
  <si>
    <t>Broad eastward ancestry movement is visible, but intermediate populations and fine-scale chronological steps between the Steppe, Altai, western Mongolia and Xinjiang remain sparsely represented.</t>
  </si>
  <si>
    <t>Central and Inner Asian corridors</t>
  </si>
  <si>
    <t>Primarily after about 3000 BCE</t>
  </si>
  <si>
    <t>ROUTE-SAMPLING GAP</t>
  </si>
  <si>
    <t>Prevents a continuous demographic transect for the eastward expansion.</t>
  </si>
  <si>
    <t>Weakens attempts to connect particular movements with specific Indo-European branches such as Tocharian.</t>
  </si>
  <si>
    <t>Synthesis Themes row 5</t>
  </si>
  <si>
    <t>Uneven geographic representation across Eurasia</t>
  </si>
  <si>
    <t>Central and northern Europe have denser regional and community-level evidence than many Caucasus, lower-Volga, northern Eurasian and Inner Asian areas.</t>
  </si>
  <si>
    <t>Cross-study comparison of all 15 included studies</t>
  </si>
  <si>
    <t>All chronological roles</t>
  </si>
  <si>
    <t>GEOGRAPHIC IMBALANCE</t>
  </si>
  <si>
    <t>Limits confidence in extending European migration mechanisms to the whole Eurasian scope.</t>
  </si>
  <si>
    <t>The geographic imbalance is even greater for independent linguistic evidence.</t>
  </si>
  <si>
    <t>Synthesis Themes columns E and H</t>
  </si>
  <si>
    <t>Balanced cemetery, kinship and mobility sampling</t>
  </si>
  <si>
    <t>Community-scale conclusions about sex bias and local mobility rely on geographically limited samples, uneven genome coverage and incomplete isotope baselines.</t>
  </si>
  <si>
    <t>Central Europe and southeastern Poland, with limited comparable evidence elsewhere</t>
  </si>
  <si>
    <t>Mostly the late target period and immediate aftermath</t>
  </si>
  <si>
    <t>SAMPLE-DENSITY AND DESIGN GAP</t>
  </si>
  <si>
    <t>Constrains comparison of household and community migration mechanisms across regions.</t>
  </si>
  <si>
    <t>Prevents direct reconstruction of language transmission within migrant and local families.</t>
  </si>
  <si>
    <t>Synthesis Themes row 4; Evidence Extraction columns S–T</t>
  </si>
  <si>
    <t>Matched archaeological–genetic regional transects</t>
  </si>
  <si>
    <t>More regions need directly matched archaeological contexts and ancient genomes to distinguish cultural transmission, elite dominance, admixture and population replacement.</t>
  </si>
  <si>
    <t>Multiple European regions; comparable Eurasian transects are limited</t>
  </si>
  <si>
    <t>Pre-target through post-target comparisons</t>
  </si>
  <si>
    <t>INTERDISCIPLINARY EVIDENCE GAP</t>
  </si>
  <si>
    <t>Limits transfer of conclusions from single sites or regions to wider migration models.</t>
  </si>
  <si>
    <t>Independent linguistic evidence would also be required before demographic processes could be tied to language outcomes.</t>
  </si>
  <si>
    <t>Synthesis Themes row 6</t>
  </si>
  <si>
    <t>Fine chronological resolution and source substructure</t>
  </si>
  <si>
    <t>Broad date ranges, proxy ancestry sources and model dependence leave uncertainty over the order, duration and exact sources of some migration pulses.</t>
  </si>
  <si>
    <t>Chintalapati et al. (2022); Lazaridis et al. (2025); Nikitin et al. (2025); Ringbauer et al. (2024)</t>
  </si>
  <si>
    <t>Steppe, Europe and wider Eurasia</t>
  </si>
  <si>
    <t>Formation, target-period dispersal and immediate consequences</t>
  </si>
  <si>
    <t>CHRONOLOGICAL AND MODEL GAP</t>
  </si>
  <si>
    <t>Limits discrimination between one large migration and several closely spaced movements.</t>
  </si>
  <si>
    <t>Language branching chronologies cannot be mapped one-to-one onto genetically estimated migration pulses.</t>
  </si>
  <si>
    <t>Synthesis Themes rows 2–3; Evidence Extraction columns S–T</t>
  </si>
  <si>
    <t>Independent linguistic evidence and transmission mechanisms</t>
  </si>
  <si>
    <t>The collection contains no direct linguistic dataset and does not resolve branching, borrowing, multilingualism, elite dominance or household language transmission.</t>
  </si>
  <si>
    <t>All 15 included studies; explicitly acknowledged across the language-synthesis theme</t>
  </si>
  <si>
    <t>Earlier roots, target-period dispersal and later branches</t>
  </si>
  <si>
    <t>DIRECT LINGUISTIC EVIDENCE GAP</t>
  </si>
  <si>
    <t>Requires integration with independent historical-linguistic and archaeological evidence in any final argument.</t>
  </si>
  <si>
    <t>Ancient DNA can test demographic compatibility but cannot identify a language or prove language replacement.</t>
  </si>
  <si>
    <t>Stage 7 — Argument-Based Review Outline</t>
  </si>
  <si>
    <t>Major sections</t>
  </si>
  <si>
    <t>Drafted prose</t>
  </si>
  <si>
    <t>Stage status</t>
  </si>
  <si>
    <t>OUTLINE ONLY — COMPLETE</t>
  </si>
  <si>
    <t>Central argument</t>
  </si>
  <si>
    <t>Ancient DNA most strongly supports rapid bidirectional dispersal of Yamnaya-related populations after a multi-stage formation process, followed by regionally variable admixture and restructuring; these demographic findings are compatible with some Indo-European dispersal models but do not directly identify language.</t>
  </si>
  <si>
    <t>Step</t>
  </si>
  <si>
    <t>Section #</t>
  </si>
  <si>
    <t>Major Section</t>
  </si>
  <si>
    <t>Subsection</t>
  </si>
  <si>
    <t>Argument Function</t>
  </si>
  <si>
    <t>Planned Claim / Task</t>
  </si>
  <si>
    <t>Evidence to Synthesize</t>
  </si>
  <si>
    <t>Agreement / Tension / Gap Basis</t>
  </si>
  <si>
    <t>Language Treatment</t>
  </si>
  <si>
    <t>Required Caution</t>
  </si>
  <si>
    <t>Draft Status</t>
  </si>
  <si>
    <t>Introduction to assigned scope</t>
  </si>
  <si>
    <t>1.1 Scope, question and boundaries</t>
  </si>
  <si>
    <t>Define the analytical problem</t>
  </si>
  <si>
    <t>Frame the section around what ancient DNA reveals about Yamnaya migration across Eurasia during 3300–2600 BCE and how those movements relate to Indo-European language hypotheses.</t>
  </si>
  <si>
    <t>Review scope, inclusion decisions and chronological classifications</t>
  </si>
  <si>
    <t>All 15 included studies as bounded by the screening and evidence tables</t>
  </si>
  <si>
    <t>Primary interval 3300–2600 BCE; earlier and later evidence labelled separately</t>
  </si>
  <si>
    <t>Stage 5 themes; Stage 6 map</t>
  </si>
  <si>
    <t>State that language requires interdisciplinary inference.</t>
  </si>
  <si>
    <t>Do not create independent origin, lifestyle, culture, genetics or technology sections.</t>
  </si>
  <si>
    <t>OUTLINE ONLY</t>
  </si>
  <si>
    <t>Summary; Screening Decisions; Evidence Extraction</t>
  </si>
  <si>
    <t>1.2 Evidence hierarchy</t>
  </si>
  <si>
    <t>Establish how claims will be evaluated</t>
  </si>
  <si>
    <t>Distinguish direct genetic results from demographic interpretation, archaeological context and linguistic inference before presenting substantive claims.</t>
  </si>
  <si>
    <t>Ancient genomes, ancestry models, IBD, kinship, isotopes and authorial language claims</t>
  </si>
  <si>
    <t>Lazaridis et al. (2025); Haak et al. (2015); Allentoft et al. (2015); Wang et al. (2021); Tassi et al. (2017)</t>
  </si>
  <si>
    <t>Applies across all chronological roles</t>
  </si>
  <si>
    <t>Agreement: ancient DNA informs demography, not speech</t>
  </si>
  <si>
    <t>Use calibrated terms such as compatible with, consistent with and interpreted as supporting.</t>
  </si>
  <si>
    <t>Never equate genetic ancestry with ethnicity or language.</t>
  </si>
  <si>
    <t>Agreements &amp; Gaps rows 10 and 17; Synthesis Table L–M</t>
  </si>
  <si>
    <t>Evidence for population movement</t>
  </si>
  <si>
    <t>2.1 Formation-to-launch sequence</t>
  </si>
  <si>
    <t>Explain the demographic precondition for expansion</t>
  </si>
  <si>
    <t>Synthesize evidence for multi-stage Steppe ancestry formation and earlier contacts only insofar as they explain the rapid Yamnaya launch near 3300 BCE.</t>
  </si>
  <si>
    <t>Admixture dating, ancestry modelling and pre-expansion Steppe contact</t>
  </si>
  <si>
    <t>Earlier formation/contact followed by direct target-period launch</t>
  </si>
  <si>
    <t>Agreement 1; tension over exact formation geography and routes</t>
  </si>
  <si>
    <t>Language-root proposals are interpretations of the demographic sequence.</t>
  </si>
  <si>
    <t>Keep origins subordinate to the migration argument and preserve model uncertainty.</t>
  </si>
  <si>
    <t>Agreements &amp; Gaps rows 5 and 11; Synthesis Themes row 2</t>
  </si>
  <si>
    <t>2.2 Westward expansion into Europe</t>
  </si>
  <si>
    <t>Present the strongest migration finding</t>
  </si>
  <si>
    <t>Combine ancestry proportions, turnover and recent genealogical links to argue for rapid westward movement of Yamnaya-related populations into central and northern Europe around 3000 BCE.</t>
  </si>
  <si>
    <t>Genome-wide ancestry shifts, population turnover and IBD</t>
  </si>
  <si>
    <t>Directly within 3300–2600 BCE with immediate later transformations</t>
  </si>
  <si>
    <t>Agreement 2; tensions over source population and movement scale</t>
  </si>
  <si>
    <t>Demographic movement may support a language-spread mechanism but does not identify speech.</t>
  </si>
  <si>
    <t>Use 'Yamnaya-related ancestry' where the exact sampled source is unresolved.</t>
  </si>
  <si>
    <t>Agreements &amp; Gaps rows 6, 12 and 13; Synthesis Themes row 3</t>
  </si>
  <si>
    <t>2.3 Eastward expansion into Inner Asia</t>
  </si>
  <si>
    <t>Complete the bidirectional Eurasian pattern</t>
  </si>
  <si>
    <t>Synthesize the close Yamnaya–Afanasievo genetic relationship and the movement of related ancestry toward the Altai, western Mongolia and Xinjiang after about 3000 BCE.</t>
  </si>
  <si>
    <t>Genome-wide ancestry, comparative chronology and regional persistence/turnover</t>
  </si>
  <si>
    <t>Target-period movement followed by later Bronze/Iron Age change</t>
  </si>
  <si>
    <t>Agreement 3; tension and gap concerning route intermediates</t>
  </si>
  <si>
    <t>Present proto-Tocharian as an explicit author interpretation requiring independent linguistic support.</t>
  </si>
  <si>
    <t>Do not equate every Afanasievo archaeological context with Yamnaya-related ancestry.</t>
  </si>
  <si>
    <t>Agreements &amp; Gaps rows 7, 15 and 19; Synthesis Themes row 5</t>
  </si>
  <si>
    <t>Routes, chronology and demographic consequences</t>
  </si>
  <si>
    <t>3.1 Chronological sequence</t>
  </si>
  <si>
    <t>Organise movement through time</t>
  </si>
  <si>
    <t>Compare earlier ancestry formation and contact, direct target-period dispersals, and later consequences so that evidence outside 3300–2600 BCE is not treated as direct Yamnaya-period evidence.</t>
  </si>
  <si>
    <t>Sample dates, admixture dates and chronological roles</t>
  </si>
  <si>
    <t>Chintalapati et al. (2022); Mathieson et al. (2018); Olalde et al. (2018); Wong et al. (2017); Dzhaubermezov et al. (2026)</t>
  </si>
  <si>
    <t>Earlier context → target-period movement → later consequence</t>
  </si>
  <si>
    <t>Tension 6; gap in fine chronology and source substructure</t>
  </si>
  <si>
    <t>Later language distributions are not direct evidence of target-period speech.</t>
  </si>
  <si>
    <t>Label every major example as earlier context, direct evidence or later consequence.</t>
  </si>
  <si>
    <t>Agreements &amp; Gaps rows 16 and 23; Synthesis Table K</t>
  </si>
  <si>
    <t>3.2 Corded Ware relationship and source uncertainty</t>
  </si>
  <si>
    <t>Evaluate the main westward connection</t>
  </si>
  <si>
    <t>Compare high Yamnaya-related ancestry and recent IBD links with evidence that sampled Yamnaya may not be the sole direct source and Corded Ware populations were heterogeneous.</t>
  </si>
  <si>
    <t>Ancestry proportions, IBD and regional population modelling</t>
  </si>
  <si>
    <t>Approximately 3000–2600 BCE</t>
  </si>
  <si>
    <t>Tension 2: ancestry relationship</t>
  </si>
  <si>
    <t>A close demographic relationship does not establish a shared language.</t>
  </si>
  <si>
    <t>Avoid presenting Corded Ware as a genetically or socially uniform population.</t>
  </si>
  <si>
    <t>Agreements &amp; Gaps row 12; Synthesis Table rows 6–9</t>
  </si>
  <si>
    <t>3.3 Replacement, admixture and regional restructuring</t>
  </si>
  <si>
    <t>Reject a single uniform mechanism</t>
  </si>
  <si>
    <t>Contrast large ancestry shifts with regional evidence of local incorporation, repeated migration and different balances of admixture and replacement.</t>
  </si>
  <si>
    <t>Population turnover, qpAdm/ancestry models, kinship and regional time series</t>
  </si>
  <si>
    <t>Haak et al. (2015); Papac et al. (2021); Linderholm et al. (2020); Olalde et al. (2018)</t>
  </si>
  <si>
    <t>Agreement 4; tension 3 over scale and mechanism</t>
  </si>
  <si>
    <t>The amount of ancestry turnover cannot directly measure language replacement.</t>
  </si>
  <si>
    <t>Do not generalise British or central-European replacement estimates to Eurasia.</t>
  </si>
  <si>
    <t>Agreements &amp; Gaps rows 8 and 13; Synthesis Themes rows 3, 4 and 6</t>
  </si>
  <si>
    <t>3.4 Sex-biased movement and local mobility</t>
  </si>
  <si>
    <t>Explain community-level migration mechanisms</t>
  </si>
  <si>
    <t>Synthesize evidence for male-biased Steppe ancestry, local maternal incorporation, kinship and isotope-defined mobility while comparing regional variation.</t>
  </si>
  <si>
    <t>Autosomal versus X-chromosome ancestry, uniparental markers, kinship and isotope evidence</t>
  </si>
  <si>
    <t>Agreement 4; tension 4; sample-design gap</t>
  </si>
  <si>
    <t>Sex bias does not reveal household or community language use.</t>
  </si>
  <si>
    <t>Treat the mechanism as recurring but not universally quantified across Eurasia.</t>
  </si>
  <si>
    <t>Agreements &amp; Gaps rows 8, 14 and 21; Synthesis Themes row 4</t>
  </si>
  <si>
    <t>3.5 Cultural diffusion versus demographic movement</t>
  </si>
  <si>
    <t>Use negative and qualifying cases</t>
  </si>
  <si>
    <t>Compare genetic continuity in some archaeological contexts with substantial population replacement elsewhere to show that material-culture spread and migration are not interchangeable.</t>
  </si>
  <si>
    <t>Genetic continuity, affinity modelling and regional replacement evidence</t>
  </si>
  <si>
    <t>Agreement 5; gap in matched archaeological–genetic transects</t>
  </si>
  <si>
    <t>Cultural similarity alone establishes neither migration nor language spread.</t>
  </si>
  <si>
    <t>Do not project later Bell Beaker replacement backward into the core Yamnaya interval.</t>
  </si>
  <si>
    <t>Agreements &amp; Gaps rows 9 and 22; Synthesis Themes row 6</t>
  </si>
  <si>
    <t>4.1 Demographic mechanism compatible with dispersal</t>
  </si>
  <si>
    <t>State the strongest defensible language-related inference</t>
  </si>
  <si>
    <t>Explain that rapid, extensive Steppe-related population movement supplies a plausible demographic mechanism compatible with Indo-European dispersal.</t>
  </si>
  <si>
    <t>Cross-study migration scale and chronology plus explicit author interpretations</t>
  </si>
  <si>
    <t>Lazaridis et al. (2025); Haak et al. (2015); Allentoft et al. (2015); Chintalapati et al. (2022)</t>
  </si>
  <si>
    <t>Formation context and target-period dispersal</t>
  </si>
  <si>
    <t>Agreement 6; tension 7 over degree of linguistic inference</t>
  </si>
  <si>
    <t>Use 'compatible with' and 'interpreted as supporting', never 'DNA proves'.</t>
  </si>
  <si>
    <t>Keep genetic evidence and linguistic inference in separate sentences or clauses.</t>
  </si>
  <si>
    <t>Agreements &amp; Gaps rows 10 and 17; Synthesis Themes row 8</t>
  </si>
  <si>
    <t>4.2 Weighting explicit, indirect and background claims</t>
  </si>
  <si>
    <t>Calibrate the language evidence</t>
  </si>
  <si>
    <t>Compare the six explicit, seven indirect and two background language classifications rather than treating all genetic studies as equally supportive of one linguistic model.</t>
  </si>
  <si>
    <t>Language relevance and interpretation fields from all included studies</t>
  </si>
  <si>
    <t>Tension 7: interpretive divergence</t>
  </si>
  <si>
    <t>All three categories remain interpretations; none is direct linguistic evidence.</t>
  </si>
  <si>
    <t>Attribute specific language claims to their authors and retain claim provenance.</t>
  </si>
  <si>
    <t>Synthesis Themes G8; Synthesis Table L–M; Agreements &amp; Gaps row 17</t>
  </si>
  <si>
    <t>4.3 Eastward dispersal and proto-Tocharian</t>
  </si>
  <si>
    <t>Evaluate a branch-specific proposal</t>
  </si>
  <si>
    <t>Use the eastward Afanasievo-related movement as demographic evidence that authors interpret as compatible with proto-Tocharian dispersal, while foregrounding missing route intermediates.</t>
  </si>
  <si>
    <t>East Asian ancient genomes and comparative Yamnaya/Afanasievo ancestry</t>
  </si>
  <si>
    <t>Altai, western Mongolia, Xinjiang and intermediate corridors</t>
  </si>
  <si>
    <t>After about 3000 BCE with later regional change</t>
  </si>
  <si>
    <t>Agreement 3; tension 5; gap 2</t>
  </si>
  <si>
    <t>The branch identification is an authorial inference, not a genetic measurement.</t>
  </si>
  <si>
    <t>Do not turn the proto-Tocharian proposal into a settled conclusion.</t>
  </si>
  <si>
    <t>Agreements &amp; Gaps rows 7, 15 and 19</t>
  </si>
  <si>
    <t>4.4 Language-root proposals and formation models</t>
  </si>
  <si>
    <t>Assess broader root hypotheses cautiously</t>
  </si>
  <si>
    <t>Relate proposed Proto-Indo-Anatolian or Steppe-origin models to the reconstructed demographic sequence without allowing disputed formation geography to become a direct linguistic conclusion.</t>
  </si>
  <si>
    <t>Genetic formation models, admixture chronology and explicit language discussion</t>
  </si>
  <si>
    <t>Lazaridis et al. (2025); Chintalapati et al. (2022); Tassi et al. (2017)</t>
  </si>
  <si>
    <t>Lower Volga, North Pontic, proposed Anatolian routes and wider Eurasia</t>
  </si>
  <si>
    <t>Earlier formation context leading into target-period dispersal</t>
  </si>
  <si>
    <t>Tension 1 and tension 7; geographic-sampling gap</t>
  </si>
  <si>
    <t>Present competing language-root locations as interdisciplinary interpretations.</t>
  </si>
  <si>
    <t>Do not use ancestry components as labels for languages or ethnic groups.</t>
  </si>
  <si>
    <t>Agreements &amp; Gaps rows 11, 17 and 18; Synthesis Themes rows 2 and 8</t>
  </si>
  <si>
    <t>Limits of linking genes, culture and language</t>
  </si>
  <si>
    <t>5.1 Route and source-model uncertainty</t>
  </si>
  <si>
    <t>Bound the migration claims</t>
  </si>
  <si>
    <t>Explain how unsampled populations, proxy sources, uneven preservation and model dependence limit precision about exact routes, source structure and the number of migration pulses.</t>
  </si>
  <si>
    <t>Study limitations and alternative demographic models</t>
  </si>
  <si>
    <t>Lazaridis et al. (2025); Nikitin et al. (2025); Chintalapati et al. (2022); Ringbauer et al. (2024)</t>
  </si>
  <si>
    <t>Steppe, Europe and Eurasian corridors</t>
  </si>
  <si>
    <t>Formation through immediate consequences</t>
  </si>
  <si>
    <t>Tensions 1–3; gaps 1, 2 and 6</t>
  </si>
  <si>
    <t>Genetic uncertainty also constrains mapping migrations onto language branching.</t>
  </si>
  <si>
    <t>Separate robust broad directions from provisional fine-scale pathways.</t>
  </si>
  <si>
    <t>Agreements &amp; Gaps rows 11–13, 18–19 and 23</t>
  </si>
  <si>
    <t>5.2 Geographic and chronological unevenness</t>
  </si>
  <si>
    <t>Limit generalisation</t>
  </si>
  <si>
    <t>Compare dense European evidence with sparser Caucasus, lower-Volga, northern Eurasian and Inner Asian sampling and distinguish direct target-period evidence from earlier/later context.</t>
  </si>
  <si>
    <t>Geographic-strength fields, sample coverage and chronological classifications</t>
  </si>
  <si>
    <t>Tension 6; gaps 1–4 and 6</t>
  </si>
  <si>
    <t>Independent linguistic evidence is even more geographically uneven.</t>
  </si>
  <si>
    <t>Do not extrapolate European community-level mechanisms to all Eurasia.</t>
  </si>
  <si>
    <t>Agreements &amp; Gaps rows 16 and 18–21, 23</t>
  </si>
  <si>
    <t>5.3 Non-equivalence of ancestry, culture and language</t>
  </si>
  <si>
    <t>State the central interpretive limit</t>
  </si>
  <si>
    <t>Make explicit that ancestry, archaeological culture, ethnicity and language are analytically distinct even when they covary in a migration scenario.</t>
  </si>
  <si>
    <t>Negative cases, regional comparisons and language-evidence classification</t>
  </si>
  <si>
    <t>Tassi et al. (2017); Papac et al. (2021); Olalde et al. (2018); all language-relevant studies</t>
  </si>
  <si>
    <t>Agreement 5–6; tension 7; direct-linguistic-evidence gap</t>
  </si>
  <si>
    <t>Ancient DNA can test demographic compatibility but cannot identify speech.</t>
  </si>
  <si>
    <t>Avoid causal language unless supported by independent linguistic and archaeological evidence.</t>
  </si>
  <si>
    <t>Agreements &amp; Gaps rows 9–10, 17 and 24</t>
  </si>
  <si>
    <t>Synthesis and research gaps</t>
  </si>
  <si>
    <t>6.1 What the evidence supports</t>
  </si>
  <si>
    <t>Answer the migration component</t>
  </si>
  <si>
    <t>Synthesize the best-supported conclusion: a rapid bidirectional expansion of Yamnaya-related populations after a multi-stage formation process, followed by regionally variable admixture and restructuring.</t>
  </si>
  <si>
    <t>Agreements across formation, westward/eastward movement and regional mechanisms</t>
  </si>
  <si>
    <t>Multiple independent studies across the 15-study corpus</t>
  </si>
  <si>
    <t>Earlier formation → 3300–2600 BCE dispersal → immediate consequences</t>
  </si>
  <si>
    <t>Agreements 1–5</t>
  </si>
  <si>
    <t>State only that the demographic pattern is compatible with some Indo-European dispersal models.</t>
  </si>
  <si>
    <t>Preserve differences between strong broad patterns and uncertain local routes.</t>
  </si>
  <si>
    <t>Agreements &amp; Gaps rows 5–9</t>
  </si>
  <si>
    <t>6.2 What remains unresolved</t>
  </si>
  <si>
    <t>End with bounded uncertainties and research needs</t>
  </si>
  <si>
    <t>Prioritise unresolved route intermediates, source substructure, geographic imbalance, community-scale sampling, chronological resolution and the absence of direct linguistic evidence.</t>
  </si>
  <si>
    <t>All seven demonstrated gaps and the associated tensions</t>
  </si>
  <si>
    <t>All 15 included studies, weighted by direct relevance</t>
  </si>
  <si>
    <t>Tensions 1–7; gaps 1–7</t>
  </si>
  <si>
    <t>Independent linguistic evidence is required to assess branching and transmission mechanisms.</t>
  </si>
  <si>
    <t>Do not present a gap as evidence for any preferred migration or language model.</t>
  </si>
  <si>
    <t>Agreements &amp; Gaps rows 11–24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</si>
</sst>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27">
    <font>
      <sz val="11"/>
      <name val="Carlito"/>
    </font>
    <font>
      <sz val="10"/>
      <name val="Aptos"/>
    </font>
    <font>
      <b/>
      <sz val="10"/>
      <name val="Aptos"/>
    </font>
    <font>
      <sz val="11"/>
      <color rgb="FFFFFFFF"/>
      <name val="Helvetica"/>
    </font>
    <font>
      <b/>
      <sz val="11"/>
      <color rgb="FFFFFFFF"/>
      <name val="Helvetica"/>
    </font>
    <font>
      <sz val="10"/>
      <name val="Helvetica"/>
    </font>
    <font>
      <sz val="11"/>
      <name val="Helvetica"/>
    </font>
    <font>
      <i/>
      <sz val="11"/>
      <color rgb="FF1F1F1F"/>
      <name val="Helvetica"/>
    </font>
    <font>
      <sz val="18"/>
      <color rgb="FFFFFFFF"/>
      <name val="Helvetica"/>
    </font>
    <font>
      <sz val="14"/>
      <color rgb="FF17365D"/>
      <name val="Helvetica"/>
    </font>
    <font>
      <b/>
      <sz val="10"/>
      <name val="Helvetica"/>
    </font>
    <font>
      <b/>
      <sz val="10"/>
      <color rgb="FFFFFFFF"/>
      <name val="Helvetica"/>
    </font>
    <font>
      <b/>
      <sz val="10"/>
      <color rgb="FF17365D"/>
      <name val="Helvetica"/>
    </font>
    <font>
      <b/>
      <sz val="11"/>
      <color rgb="FFFFFFFF"/>
      <name val="Aptos"/>
    </font>
    <font>
      <b/>
      <sz val="10"/>
      <color rgb="FF375623"/>
      <name val="Aptos"/>
    </font>
    <font>
      <b/>
      <sz val="10"/>
      <color rgb="FF17365D"/>
      <name val="Aptos"/>
    </font>
    <font>
      <sz val="11"/>
      <name val="Aptos"/>
    </font>
    <font>
      <b/>
      <sz val="16"/>
      <color rgb="FFFFFFFF"/>
      <name val="Aptos"/>
    </font>
    <font>
      <b/>
      <sz val="11"/>
      <color rgb="FF17365D"/>
      <name val="Aptos"/>
    </font>
    <font>
      <b/>
      <sz val="13"/>
      <color rgb="FF17365D"/>
      <name val="Aptos"/>
    </font>
    <font>
      <b/>
      <sz val="10"/>
      <color rgb="FF7F6000"/>
      <name val="Aptos"/>
    </font>
    <font>
      <b/>
      <sz val="10"/>
      <color rgb="FF9C0006"/>
      <name val="Aptos"/>
    </font>
    <font>
      <b/>
      <sz val="11"/>
      <name val="Aptos"/>
    </font>
    <font>
      <b/>
      <sz val="14"/>
      <color rgb="FF17365D"/>
      <name val="Aptos"/>
    </font>
    <font>
      <sz val="11"/>
      <color rgb="FF5B4A00"/>
      <name val="Aptos"/>
    </font>
    <font>
      <b/>
      <sz val="11"/>
      <color rgb="FF5B4A00"/>
      <name val="Aptos"/>
    </font>
    <font>
      <sz val="14"/>
      <name val="Helvetica"/>
      <family val="2"/>
    </font>
  </fonts>
  <fills count="3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F3F0F7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3F0F7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3F0F7"/>
      </patternFill>
    </fill>
    <fill>
      <patternFill patternType="solid">
        <fgColor rgb="FFDDEBF7"/>
      </patternFill>
    </fill>
  </fills>
  <borders count="7">
    <border>
      <left/>
      <right/>
      <top/>
      <bottom/>
      <diagonal/>
    </border>
    <border>
      <left style="thin">
        <color rgb="FF9EADBA"/>
      </left>
      <right/>
      <top style="thin">
        <color rgb="FF9EADBA"/>
      </top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 style="thin">
        <color rgb="FF9EADBA"/>
      </left>
      <right/>
      <top/>
      <bottom/>
      <diagonal/>
    </border>
    <border>
      <left/>
      <right style="thin">
        <color rgb="FF9EADBA"/>
      </right>
      <top/>
      <bottom/>
      <diagonal/>
    </border>
    <border>
      <left style="thin">
        <color rgb="FF9EADBA"/>
      </left>
      <right/>
      <top/>
      <bottom style="thin">
        <color rgb="FF9EADBA"/>
      </bottom>
      <diagonal/>
    </border>
    <border>
      <left/>
      <right style="thin">
        <color rgb="FF9EADBA"/>
      </right>
      <top/>
      <bottom style="thin">
        <color rgb="FF9EADBA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vertical="top" wrapText="1"/>
    </xf>
    <xf numFmtId="0" fontId="2" fillId="11" borderId="0" xfId="0" applyFont="1" applyFill="1" applyAlignment="1">
      <alignment vertical="top" wrapText="1"/>
    </xf>
    <xf numFmtId="0" fontId="3" fillId="10" borderId="0" xfId="0" applyFont="1" applyFill="1" applyAlignment="1">
      <alignment vertical="center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6" fillId="4" borderId="1" xfId="0" applyFont="1" applyFill="1" applyBorder="1"/>
    <xf numFmtId="1" fontId="9" fillId="0" borderId="2" xfId="0" applyNumberFormat="1" applyFont="1" applyBorder="1" applyAlignment="1">
      <alignment horizontal="right"/>
    </xf>
    <xf numFmtId="0" fontId="6" fillId="4" borderId="3" xfId="0" applyFont="1" applyFill="1" applyBorder="1"/>
    <xf numFmtId="1" fontId="9" fillId="0" borderId="4" xfId="0" applyNumberFormat="1" applyFont="1" applyBorder="1" applyAlignment="1">
      <alignment horizontal="right"/>
    </xf>
    <xf numFmtId="0" fontId="6" fillId="9" borderId="1" xfId="0" applyFont="1" applyFill="1" applyBorder="1"/>
    <xf numFmtId="0" fontId="6" fillId="9" borderId="5" xfId="0" applyFont="1" applyFill="1" applyBorder="1"/>
    <xf numFmtId="1" fontId="9" fillId="0" borderId="6" xfId="0" applyNumberFormat="1" applyFont="1" applyBorder="1" applyAlignment="1">
      <alignment horizontal="right"/>
    </xf>
    <xf numFmtId="0" fontId="6" fillId="9" borderId="3" xfId="0" applyFont="1" applyFill="1" applyBorder="1"/>
    <xf numFmtId="0" fontId="6" fillId="11" borderId="3" xfId="0" applyFont="1" applyFill="1" applyBorder="1"/>
    <xf numFmtId="0" fontId="4" fillId="5" borderId="0" xfId="0" applyFont="1" applyFill="1" applyAlignment="1">
      <alignment wrapText="1"/>
    </xf>
    <xf numFmtId="0" fontId="10" fillId="6" borderId="0" xfId="0" applyFont="1" applyFill="1" applyAlignment="1">
      <alignment vertical="top" wrapText="1"/>
    </xf>
    <xf numFmtId="0" fontId="4" fillId="5" borderId="0" xfId="0" applyFont="1" applyFill="1"/>
    <xf numFmtId="0" fontId="10" fillId="4" borderId="0" xfId="0" applyFont="1" applyFill="1" applyAlignment="1">
      <alignment vertical="top" wrapText="1"/>
    </xf>
    <xf numFmtId="0" fontId="4" fillId="7" borderId="0" xfId="0" applyFont="1" applyFill="1" applyAlignment="1">
      <alignment vertical="center" wrapText="1"/>
    </xf>
    <xf numFmtId="0" fontId="11" fillId="8" borderId="0" xfId="0" applyFont="1" applyFill="1" applyAlignment="1">
      <alignment vertical="top" wrapText="1"/>
    </xf>
    <xf numFmtId="0" fontId="10" fillId="0" borderId="0" xfId="0" applyFont="1" applyAlignment="1">
      <alignment horizontal="right" vertical="top" wrapText="1"/>
    </xf>
    <xf numFmtId="0" fontId="4" fillId="8" borderId="0" xfId="0" applyFont="1" applyFill="1" applyAlignment="1">
      <alignment vertical="center" wrapText="1"/>
    </xf>
    <xf numFmtId="0" fontId="4" fillId="10" borderId="0" xfId="0" applyFont="1" applyFill="1" applyAlignment="1">
      <alignment vertical="center" wrapText="1"/>
    </xf>
    <xf numFmtId="0" fontId="12" fillId="11" borderId="0" xfId="0" applyFont="1" applyFill="1" applyAlignment="1">
      <alignment vertical="top" wrapText="1"/>
    </xf>
    <xf numFmtId="0" fontId="5" fillId="12" borderId="0" xfId="0" applyFont="1" applyFill="1" applyAlignment="1">
      <alignment vertical="top" wrapText="1"/>
    </xf>
    <xf numFmtId="0" fontId="13" fillId="14" borderId="0" xfId="0" applyFont="1" applyFill="1" applyAlignment="1">
      <alignment vertical="center" wrapText="1"/>
    </xf>
    <xf numFmtId="0" fontId="14" fillId="15" borderId="0" xfId="0" applyFont="1" applyFill="1" applyAlignment="1">
      <alignment vertical="top" wrapText="1"/>
    </xf>
    <xf numFmtId="1" fontId="15" fillId="16" borderId="0" xfId="0" applyNumberFormat="1" applyFont="1" applyFill="1" applyAlignment="1">
      <alignment horizontal="center" vertical="top" wrapText="1"/>
    </xf>
    <xf numFmtId="0" fontId="1" fillId="17" borderId="0" xfId="0" applyFont="1" applyFill="1" applyAlignment="1">
      <alignment vertical="top" wrapText="1"/>
    </xf>
    <xf numFmtId="0" fontId="1" fillId="18" borderId="0" xfId="0" applyFont="1" applyFill="1" applyAlignment="1">
      <alignment vertical="top" wrapText="1"/>
    </xf>
    <xf numFmtId="0" fontId="2" fillId="19" borderId="0" xfId="0" applyFont="1" applyFill="1" applyAlignment="1">
      <alignment vertical="top" wrapText="1"/>
    </xf>
    <xf numFmtId="0" fontId="18" fillId="21" borderId="0" xfId="0" applyFont="1" applyFill="1" applyAlignment="1">
      <alignment vertical="center"/>
    </xf>
    <xf numFmtId="1" fontId="19" fillId="21" borderId="0" xfId="0" applyNumberFormat="1" applyFont="1" applyFill="1" applyAlignment="1">
      <alignment horizontal="center" vertical="center"/>
    </xf>
    <xf numFmtId="0" fontId="13" fillId="22" borderId="0" xfId="0" applyFont="1" applyFill="1" applyAlignment="1">
      <alignment vertical="center" wrapText="1"/>
    </xf>
    <xf numFmtId="0" fontId="14" fillId="23" borderId="0" xfId="0" applyFont="1" applyFill="1" applyAlignment="1">
      <alignment vertical="top" wrapText="1"/>
    </xf>
    <xf numFmtId="0" fontId="20" fillId="24" borderId="0" xfId="0" applyFont="1" applyFill="1" applyAlignment="1">
      <alignment vertical="top" wrapText="1"/>
    </xf>
    <xf numFmtId="0" fontId="21" fillId="25" borderId="0" xfId="0" applyFont="1" applyFill="1" applyAlignment="1">
      <alignment vertical="top" wrapText="1"/>
    </xf>
    <xf numFmtId="0" fontId="1" fillId="26" borderId="0" xfId="0" applyFont="1" applyFill="1" applyAlignment="1">
      <alignment vertical="top" wrapText="1"/>
    </xf>
    <xf numFmtId="0" fontId="1" fillId="27" borderId="0" xfId="0" applyFont="1" applyFill="1" applyAlignment="1">
      <alignment vertical="top" wrapText="1"/>
    </xf>
    <xf numFmtId="0" fontId="1" fillId="28" borderId="0" xfId="0" applyFont="1" applyFill="1" applyAlignment="1">
      <alignment vertical="top" wrapText="1"/>
    </xf>
    <xf numFmtId="0" fontId="22" fillId="21" borderId="0" xfId="0" applyFont="1" applyFill="1" applyAlignment="1">
      <alignment wrapText="1"/>
    </xf>
    <xf numFmtId="1" fontId="23" fillId="0" borderId="0" xfId="0" applyNumberFormat="1" applyFont="1" applyAlignment="1">
      <alignment horizontal="right"/>
    </xf>
    <xf numFmtId="0" fontId="2" fillId="21" borderId="0" xfId="0" applyFont="1" applyFill="1" applyAlignment="1">
      <alignment vertical="top" wrapText="1"/>
    </xf>
    <xf numFmtId="0" fontId="18" fillId="30" borderId="0" xfId="0" applyFont="1" applyFill="1" applyAlignment="1">
      <alignment vertical="center"/>
    </xf>
    <xf numFmtId="1" fontId="19" fillId="30" borderId="0" xfId="0" applyNumberFormat="1" applyFont="1" applyFill="1" applyAlignment="1">
      <alignment horizontal="center" vertical="center"/>
    </xf>
    <xf numFmtId="0" fontId="25" fillId="31" borderId="0" xfId="0" applyFont="1" applyFill="1" applyAlignment="1">
      <alignment vertical="center" wrapText="1"/>
    </xf>
    <xf numFmtId="0" fontId="13" fillId="32" borderId="0" xfId="0" applyFont="1" applyFill="1" applyAlignment="1">
      <alignment vertical="center" wrapText="1"/>
    </xf>
    <xf numFmtId="0" fontId="1" fillId="33" borderId="0" xfId="0" applyFont="1" applyFill="1" applyAlignment="1">
      <alignment vertical="top" wrapText="1"/>
    </xf>
    <xf numFmtId="0" fontId="1" fillId="34" borderId="0" xfId="0" applyFont="1" applyFill="1" applyAlignment="1">
      <alignment vertical="top" wrapText="1"/>
    </xf>
    <xf numFmtId="0" fontId="1" fillId="35" borderId="0" xfId="0" applyFont="1" applyFill="1" applyAlignment="1">
      <alignment vertical="top" wrapText="1"/>
    </xf>
    <xf numFmtId="0" fontId="1" fillId="36" borderId="0" xfId="0" applyFont="1" applyFill="1" applyAlignment="1">
      <alignment vertical="top" wrapText="1"/>
    </xf>
    <xf numFmtId="0" fontId="1" fillId="31" borderId="0" xfId="0" applyFont="1" applyFill="1" applyAlignment="1">
      <alignment vertical="top" wrapText="1"/>
    </xf>
    <xf numFmtId="0" fontId="1" fillId="37" borderId="0" xfId="0" applyFont="1" applyFill="1" applyAlignment="1">
      <alignment vertical="top" wrapText="1"/>
    </xf>
    <xf numFmtId="0" fontId="15" fillId="30" borderId="0" xfId="0" applyFont="1" applyFill="1" applyAlignment="1">
      <alignment vertical="top" wrapText="1"/>
    </xf>
    <xf numFmtId="0" fontId="1" fillId="33" borderId="0" xfId="0" applyFont="1" applyFill="1" applyAlignment="1">
      <alignment horizontal="center" vertical="top" wrapText="1"/>
    </xf>
    <xf numFmtId="0" fontId="1" fillId="34" borderId="0" xfId="0" applyFont="1" applyFill="1" applyAlignment="1">
      <alignment horizontal="center" vertical="top" wrapText="1"/>
    </xf>
    <xf numFmtId="0" fontId="1" fillId="35" borderId="0" xfId="0" applyFont="1" applyFill="1" applyAlignment="1">
      <alignment horizontal="center" vertical="top" wrapText="1"/>
    </xf>
    <xf numFmtId="0" fontId="1" fillId="36" borderId="0" xfId="0" applyFont="1" applyFill="1" applyAlignment="1">
      <alignment horizontal="center" vertical="top" wrapText="1"/>
    </xf>
    <xf numFmtId="0" fontId="1" fillId="31" borderId="0" xfId="0" applyFont="1" applyFill="1" applyAlignment="1">
      <alignment horizontal="center" vertical="top" wrapText="1"/>
    </xf>
    <xf numFmtId="0" fontId="1" fillId="37" borderId="0" xfId="0" applyFont="1" applyFill="1" applyAlignment="1">
      <alignment horizontal="center" vertical="top" wrapText="1"/>
    </xf>
    <xf numFmtId="0" fontId="22" fillId="30" borderId="0" xfId="0" applyFont="1" applyFill="1" applyAlignment="1">
      <alignment wrapText="1"/>
    </xf>
    <xf numFmtId="0" fontId="2" fillId="30" borderId="0" xfId="0" applyFont="1" applyFill="1" applyAlignment="1">
      <alignment vertical="top" wrapText="1"/>
    </xf>
    <xf numFmtId="0" fontId="6" fillId="13" borderId="0" xfId="0" applyFont="1" applyFill="1" applyAlignment="1">
      <alignment wrapText="1"/>
    </xf>
    <xf numFmtId="0" fontId="16" fillId="34" borderId="0" xfId="0" applyFont="1" applyFill="1" applyAlignment="1">
      <alignment wrapText="1"/>
    </xf>
    <xf numFmtId="0" fontId="3" fillId="5" borderId="0" xfId="0" applyFont="1" applyFill="1"/>
    <xf numFmtId="0" fontId="8" fillId="2" borderId="0" xfId="0" applyFont="1" applyFill="1" applyAlignment="1">
      <alignment vertical="center"/>
    </xf>
    <xf numFmtId="0" fontId="7" fillId="3" borderId="0" xfId="0" applyFont="1" applyFill="1"/>
    <xf numFmtId="0" fontId="17" fillId="20" borderId="0" xfId="0" applyFont="1" applyFill="1" applyAlignment="1">
      <alignment vertical="center"/>
    </xf>
    <xf numFmtId="0" fontId="17" fillId="29" borderId="0" xfId="0" applyFont="1" applyFill="1" applyAlignment="1">
      <alignment vertical="center"/>
    </xf>
    <xf numFmtId="0" fontId="24" fillId="31" borderId="0" xfId="0" applyFont="1" applyFill="1" applyAlignment="1">
      <alignment vertical="center" wrapText="1"/>
    </xf>
    <xf numFmtId="1" fontId="26" fillId="0" borderId="0" xfId="0" applyNumberFormat="1" applyFont="1" applyAlignment="1">
      <alignment vertical="top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top" wrapText="1"/>
    </xf>
    <xf numFmtId="164" fontId="26" fillId="0" borderId="0" xfId="0" applyNumberFormat="1" applyFont="1" applyAlignment="1">
      <alignment vertical="top"/>
    </xf>
    <xf numFmtId="3" fontId="26" fillId="0" borderId="0" xfId="0" applyNumberFormat="1" applyFont="1" applyAlignment="1">
      <alignment vertical="top"/>
    </xf>
  </cellXfs>
  <cellStyles count="1">
    <cellStyle name="Normal" xfId="0" builtinId="0"/>
  </cellStyles>
  <dxfs count="135"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Helvetica"/>
        <scheme val="none"/>
      </font>
    </dxf>
    <dxf>
      <font>
        <color rgb="FF595959"/>
      </font>
      <fill>
        <patternFill>
          <bgColor rgb="FFE7E6E6"/>
        </patternFill>
      </fill>
    </dxf>
    <dxf>
      <font>
        <color rgb="FF17365D"/>
      </font>
      <fill>
        <patternFill>
          <bgColor rgb="FFD9EAF7"/>
        </patternFill>
      </fill>
    </dxf>
    <dxf>
      <font>
        <b/>
        <color rgb="FF403151"/>
      </font>
      <fill>
        <patternFill>
          <bgColor rgb="FFE4DFEC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7365D"/>
      </font>
      <fill>
        <patternFill>
          <bgColor rgb="FFD9EA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17365D"/>
      </font>
      <fill>
        <patternFill>
          <bgColor rgb="FFD9EAF7"/>
        </patternFill>
      </fill>
    </dxf>
    <dxf>
      <font>
        <b/>
        <color rgb="FF403151"/>
      </font>
      <fill>
        <patternFill>
          <bgColor rgb="FFE4DFEC"/>
        </patternFill>
      </fill>
    </dxf>
    <dxf>
      <font>
        <color rgb="FF17365D"/>
      </font>
      <fill>
        <patternFill>
          <bgColor rgb="FFD9EA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sz val="10"/>
        <name val="Helvetica"/>
        <family val="2"/>
        <scheme val="none"/>
      </font>
    </dxf>
    <dxf>
      <font>
        <u val="none"/>
        <sz val="10"/>
        <name val="Helvetica"/>
        <family val="2"/>
        <scheme val="none"/>
      </font>
    </dxf>
    <dxf>
      <font>
        <u val="none"/>
        <sz val="10"/>
        <name val="Helvetica"/>
        <family val="2"/>
        <scheme val="none"/>
      </font>
    </dxf>
    <dxf>
      <font>
        <u val="none"/>
        <sz val="10"/>
        <name val="Helvetica"/>
        <family val="2"/>
        <scheme val="none"/>
      </font>
    </dxf>
    <dxf>
      <font>
        <u val="none"/>
        <sz val="10"/>
        <name val="Helvetica"/>
        <family val="2"/>
        <scheme val="none"/>
      </font>
    </dxf>
    <dxf>
      <font>
        <u val="none"/>
        <sz val="10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  <dxf>
      <font>
        <u val="none"/>
        <name val="Helvetic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oteroInventory" displayName="ZoteroInventory" ref="A1:T19" totalsRowShown="0" dataDxfId="0">
  <tableColumns count="20">
    <tableColumn id="1" xr3:uid="{00000000-0010-0000-0000-000001000000}" name="Record #" dataDxfId="20"/>
    <tableColumn id="2" xr3:uid="{00000000-0010-0000-0000-000002000000}" name="Creator(s)" dataDxfId="19"/>
    <tableColumn id="3" xr3:uid="{00000000-0010-0000-0000-000003000000}" name="Year" dataDxfId="18"/>
    <tableColumn id="4" xr3:uid="{00000000-0010-0000-0000-000004000000}" name="Title" dataDxfId="17"/>
    <tableColumn id="5" xr3:uid="{00000000-0010-0000-0000-000005000000}" name="Publication" dataDxfId="16"/>
    <tableColumn id="6" xr3:uid="{00000000-0010-0000-0000-000006000000}" name="DOI" dataDxfId="15"/>
    <tableColumn id="7" xr3:uid="{00000000-0010-0000-0000-000007000000}" name="URL" dataDxfId="14"/>
    <tableColumn id="8" xr3:uid="{00000000-0010-0000-0000-000008000000}" name="Zotero Item Key" dataDxfId="13"/>
    <tableColumn id="9" xr3:uid="{00000000-0010-0000-0000-000009000000}" name="BibTeX Key" dataDxfId="12"/>
    <tableColumn id="10" xr3:uid="{00000000-0010-0000-0000-00000A000000}" name="Source Catalog" dataDxfId="11"/>
    <tableColumn id="11" xr3:uid="{00000000-0010-0000-0000-00000B000000}" name="Added to Zotero" dataDxfId="10"/>
    <tableColumn id="12" xr3:uid="{00000000-0010-0000-0000-00000C000000}" name="PDF Attachment Key" dataDxfId="9"/>
    <tableColumn id="13" xr3:uid="{00000000-0010-0000-0000-00000D000000}" name="PDF Availability" dataDxfId="8"/>
    <tableColumn id="14" xr3:uid="{00000000-0010-0000-0000-00000E000000}" name="PDF Readability" dataDxfId="7"/>
    <tableColumn id="15" xr3:uid="{00000000-0010-0000-0000-00000F000000}" name="PDF Pages" dataDxfId="6"/>
    <tableColumn id="16" xr3:uid="{00000000-0010-0000-0000-000010000000}" name="PDF Size (bytes)" dataDxfId="5"/>
    <tableColumn id="17" xr3:uid="{00000000-0010-0000-0000-000011000000}" name="Duplicate Status" dataDxfId="4"/>
    <tableColumn id="18" xr3:uid="{00000000-0010-0000-0000-000012000000}" name="Group Relevance" dataDxfId="3"/>
    <tableColumn id="19" xr3:uid="{00000000-0010-0000-0000-000013000000}" name="My Section Relevance" dataDxfId="2"/>
    <tableColumn id="20" xr3:uid="{00000000-0010-0000-0000-000014000000}" name="Audit Notes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uditFlags" displayName="AuditFlags" ref="A1:G5" totalsRowShown="0" dataDxfId="134">
  <tableColumns count="7">
    <tableColumn id="1" xr3:uid="{00000000-0010-0000-0100-000001000000}" name="Flag" dataDxfId="133"/>
    <tableColumn id="2" xr3:uid="{00000000-0010-0000-0100-000002000000}" name="Status" dataDxfId="132"/>
    <tableColumn id="3" xr3:uid="{00000000-0010-0000-0100-000003000000}" name="Collection Item(s)" dataDxfId="131"/>
    <tableColumn id="4" xr3:uid="{00000000-0010-0000-0100-000004000000}" name="Related Item" dataDxfId="130"/>
    <tableColumn id="5" xr3:uid="{00000000-0010-0000-0100-000005000000}" name="Evidence" dataDxfId="129"/>
    <tableColumn id="6" xr3:uid="{00000000-0010-0000-0100-000006000000}" name="Effect on Counts" dataDxfId="128"/>
    <tableColumn id="7" xr3:uid="{00000000-0010-0000-0100-000007000000}" name="Recommended Follow-up" dataDxfId="1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uditProvenance" displayName="AuditProvenance" ref="A1:C16" totalsRowShown="0" dataDxfId="126">
  <tableColumns count="3">
    <tableColumn id="1" xr3:uid="{00000000-0010-0000-0200-000001000000}" name="Field" dataDxfId="125"/>
    <tableColumn id="2" xr3:uid="{00000000-0010-0000-0200-000002000000}" name="Value" dataDxfId="124"/>
    <tableColumn id="3" xr3:uid="{00000000-0010-0000-0200-000003000000}" name="Interpretation / constraint" dataDxfId="1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tleAbstractScreening" displayName="TitleAbstractScreening" ref="A1:P19" totalsRowShown="0" dataDxfId="122">
  <tableColumns count="16">
    <tableColumn id="1" xr3:uid="{00000000-0010-0000-0300-000001000000}" name="Record #" dataDxfId="121"/>
    <tableColumn id="2" xr3:uid="{00000000-0010-0000-0300-000002000000}" name="Zotero Item Key" dataDxfId="120"/>
    <tableColumn id="3" xr3:uid="{00000000-0010-0000-0300-000003000000}" name="Study" dataDxfId="119"/>
    <tableColumn id="4" xr3:uid="{00000000-0010-0000-0300-000004000000}" name="Duplicate Status" dataDxfId="118"/>
    <tableColumn id="5" xr3:uid="{00000000-0010-0000-0300-000005000000}" name="Evidence Used" dataDxfId="117"/>
    <tableColumn id="6" xr3:uid="{00000000-0010-0000-0300-000006000000}" name="Title/Abstract Screened" dataDxfId="116"/>
    <tableColumn id="7" xr3:uid="{00000000-0010-0000-0300-000007000000}" name="Group Relevance" dataDxfId="115"/>
    <tableColumn id="8" xr3:uid="{00000000-0010-0000-0300-000008000000}" name="Group Decision Reason" dataDxfId="114"/>
    <tableColumn id="9" xr3:uid="{00000000-0010-0000-0300-000009000000}" name="My Section Relevance" dataDxfId="113"/>
    <tableColumn id="10" xr3:uid="{00000000-0010-0000-0300-00000A000000}" name="My Section Decision Reason" dataDxfId="112"/>
    <tableColumn id="11" xr3:uid="{00000000-0010-0000-0300-00000B000000}" name="Language Relevance" dataDxfId="111"/>
    <tableColumn id="12" xr3:uid="{00000000-0010-0000-0300-00000C000000}" name="Chronological Role" dataDxfId="110"/>
    <tableColumn id="13" xr3:uid="{00000000-0010-0000-0300-00000D000000}" name="PDF Available" dataDxfId="109"/>
    <tableColumn id="14" xr3:uid="{00000000-0010-0000-0300-00000E000000}" name="My-Section Full-Text Path" dataDxfId="108"/>
    <tableColumn id="15" xr3:uid="{00000000-0010-0000-0300-00000F000000}" name="Full-Text Assessment" dataDxfId="107"/>
    <tableColumn id="16" xr3:uid="{00000000-0010-0000-0300-000010000000}" name="Notes" dataDxfId="10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ismaStatusTable" displayName="PrismaStatusTable" ref="A1:E17" totalsRowShown="0" dataDxfId="105">
  <tableColumns count="5">
    <tableColumn id="1" xr3:uid="{00000000-0010-0000-0400-000001000000}" name="PRISMA Stage / Metric" dataDxfId="104"/>
    <tableColumn id="2" xr3:uid="{00000000-0010-0000-0400-000002000000}" name="Count" dataDxfId="103"/>
    <tableColumn id="3" xr3:uid="{00000000-0010-0000-0400-000003000000}" name="Status" dataDxfId="102"/>
    <tableColumn id="4" xr3:uid="{00000000-0010-0000-0400-000004000000}" name="Evidence / Formula" dataDxfId="101"/>
    <tableColumn id="5" xr3:uid="{00000000-0010-0000-0400-000005000000}" name="Constraint" dataDxfId="10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ullTextEvidence" displayName="FullTextEvidence" ref="A1:X16" totalsRowShown="0" dataDxfId="99">
  <tableColumns count="24">
    <tableColumn id="1" xr3:uid="{00000000-0010-0000-0500-000001000000}" name="Study" dataDxfId="98"/>
    <tableColumn id="2" xr3:uid="{00000000-0010-0000-0500-000002000000}" name="Zotero Item Key" dataDxfId="97"/>
    <tableColumn id="3" xr3:uid="{00000000-0010-0000-0500-000003000000}" name="DOI" dataDxfId="96"/>
    <tableColumn id="4" xr3:uid="{00000000-0010-0000-0500-000004000000}" name="Region" dataDxfId="95"/>
    <tableColumn id="5" xr3:uid="{00000000-0010-0000-0500-000005000000}" name="Relevant Populations / Cultures" dataDxfId="94"/>
    <tableColumn id="6" xr3:uid="{00000000-0010-0000-0500-000006000000}" name="Sample Dates" dataDxfId="93"/>
    <tableColumn id="7" xr3:uid="{00000000-0010-0000-0500-000007000000}" name="Samples / Data" dataDxfId="92"/>
    <tableColumn id="8" xr3:uid="{00000000-0010-0000-0500-000008000000}" name="Methods" dataDxfId="91"/>
    <tableColumn id="9" xr3:uid="{00000000-0010-0000-0500-000009000000}" name="Direct Genetic Result" dataDxfId="90"/>
    <tableColumn id="10" xr3:uid="{00000000-0010-0000-0500-00000A000000}" name="Migration Origin" dataDxfId="89"/>
    <tableColumn id="11" xr3:uid="{00000000-0010-0000-0500-00000B000000}" name="Migration Destination" dataDxfId="88"/>
    <tableColumn id="12" xr3:uid="{00000000-0010-0000-0500-00000C000000}" name="Route / Pattern" dataDxfId="87"/>
    <tableColumn id="13" xr3:uid="{00000000-0010-0000-0500-00000D000000}" name="Migration Chronology" dataDxfId="86"/>
    <tableColumn id="14" xr3:uid="{00000000-0010-0000-0500-00000E000000}" name="Demographic Evidence" dataDxfId="85"/>
    <tableColumn id="15" xr3:uid="{00000000-0010-0000-0500-00000F000000}" name="Author Migration Interpretation" dataDxfId="84"/>
    <tableColumn id="16" xr3:uid="{00000000-0010-0000-0500-000010000000}" name="Language Relevance" dataDxfId="83"/>
    <tableColumn id="17" xr3:uid="{00000000-0010-0000-0500-000011000000}" name="Language Inference" dataDxfId="82"/>
    <tableColumn id="18" xr3:uid="{00000000-0010-0000-0500-000012000000}" name="Claim Provenance" dataDxfId="81"/>
    <tableColumn id="19" xr3:uid="{00000000-0010-0000-0500-000013000000}" name="Geographic / Chronological Limits" dataDxfId="80"/>
    <tableColumn id="20" xr3:uid="{00000000-0010-0000-0500-000014000000}" name="Method / Design Limits" dataDxfId="79"/>
    <tableColumn id="21" xr3:uid="{00000000-0010-0000-0500-000015000000}" name="Contribution to Review" dataDxfId="78"/>
    <tableColumn id="22" xr3:uid="{00000000-0010-0000-0500-000016000000}" name="Full-Text Decision" dataDxfId="77"/>
    <tableColumn id="23" xr3:uid="{00000000-0010-0000-0500-000017000000}" name="Key Pages / Sections" dataDxfId="76"/>
    <tableColumn id="24" xr3:uid="{00000000-0010-0000-0500-000018000000}" name="Notes" dataDxfId="7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rossStudySynthesis" displayName="CrossStudySynthesis" ref="A1:R16" totalsRowShown="0" dataDxfId="74">
  <tableColumns count="18">
    <tableColumn id="1" xr3:uid="{00000000-0010-0000-0600-000001000000}" name="Study" dataDxfId="73"/>
    <tableColumn id="2" xr3:uid="{00000000-0010-0000-0600-000002000000}" name="Analytical Theme" dataDxfId="72"/>
    <tableColumn id="3" xr3:uid="{00000000-0010-0000-0600-000003000000}" name="Analytical Role" dataDxfId="71"/>
    <tableColumn id="4" xr3:uid="{00000000-0010-0000-0600-000004000000}" name="Region" dataDxfId="70"/>
    <tableColumn id="5" xr3:uid="{00000000-0010-0000-0600-000005000000}" name="Date / Samples" dataDxfId="69"/>
    <tableColumn id="6" xr3:uid="{00000000-0010-0000-0600-000006000000}" name="Methods" dataDxfId="68"/>
    <tableColumn id="7" xr3:uid="{00000000-0010-0000-0600-000007000000}" name="Genetic / Demographic Result" dataDxfId="67"/>
    <tableColumn id="8" xr3:uid="{00000000-0010-0000-0600-000008000000}" name="Migration Evidence" dataDxfId="66"/>
    <tableColumn id="9" xr3:uid="{00000000-0010-0000-0600-000009000000}" name="Route / Pattern" dataDxfId="65"/>
    <tableColumn id="10" xr3:uid="{00000000-0010-0000-0600-00000A000000}" name="Connected Populations" dataDxfId="64"/>
    <tableColumn id="11" xr3:uid="{00000000-0010-0000-0600-00000B000000}" name="Migration Chronology" dataDxfId="63"/>
    <tableColumn id="12" xr3:uid="{00000000-0010-0000-0600-00000C000000}" name="Language Relevance" dataDxfId="62"/>
    <tableColumn id="13" xr3:uid="{00000000-0010-0000-0600-00000D000000}" name="Language Interpretation" dataDxfId="61"/>
    <tableColumn id="14" xr3:uid="{00000000-0010-0000-0600-00000E000000}" name="Main Interpretation" dataDxfId="60"/>
    <tableColumn id="15" xr3:uid="{00000000-0010-0000-0600-00000F000000}" name="Limitations" dataDxfId="59"/>
    <tableColumn id="16" xr3:uid="{00000000-0010-0000-0600-000010000000}" name="Contribution to Review" dataDxfId="58"/>
    <tableColumn id="17" xr3:uid="{00000000-0010-0000-0600-000011000000}" name="Zotero Item Key" dataDxfId="57"/>
    <tableColumn id="18" xr3:uid="{00000000-0010-0000-0600-000012000000}" name="Evidence Pointer" dataDxfId="5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rossStudyThemes" displayName="CrossStudyThemes" ref="A1:H8" totalsRowShown="0">
  <tableColumns count="8">
    <tableColumn id="1" xr3:uid="{00000000-0010-0000-0700-000001000000}" name="Cross-Study Theme" dataDxfId="55"/>
    <tableColumn id="2" xr3:uid="{00000000-0010-0000-0700-000002000000}" name="Convergent Evidence" dataDxfId="54"/>
    <tableColumn id="3" xr3:uid="{00000000-0010-0000-0700-000003000000}" name="Key Studies" dataDxfId="53"/>
    <tableColumn id="4" xr3:uid="{00000000-0010-0000-0700-000004000000}" name="Qualification / Tension" dataDxfId="52"/>
    <tableColumn id="5" xr3:uid="{00000000-0010-0000-0700-000005000000}" name="Geographic Strength" dataDxfId="51"/>
    <tableColumn id="6" xr3:uid="{00000000-0010-0000-0700-000006000000}" name="Chronological Role" dataDxfId="50"/>
    <tableColumn id="7" xr3:uid="{00000000-0010-0000-0700-000007000000}" name="Language Status" dataDxfId="49"/>
    <tableColumn id="8" xr3:uid="{00000000-0010-0000-0700-000008000000}" name="Main Evidence Gap" dataDxfId="4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tage6IssueMap" displayName="Stage6IssueMap" ref="A4:J24" totalsRowShown="0">
  <tableColumns count="10">
    <tableColumn id="1" xr3:uid="{00000000-0010-0000-0800-000001000000}" name="Type"/>
    <tableColumn id="2" xr3:uid="{00000000-0010-0000-0800-000002000000}" name="Topic"/>
    <tableColumn id="3" xr3:uid="{00000000-0010-0000-0800-000003000000}" name="Evidence-Based Finding"/>
    <tableColumn id="4" xr3:uid="{00000000-0010-0000-0800-000004000000}" name="Studies / Evidence"/>
    <tableColumn id="5" xr3:uid="{00000000-0010-0000-0800-000005000000}" name="Geographic Scope"/>
    <tableColumn id="6" xr3:uid="{00000000-0010-0000-0800-000006000000}" name="Chronological Role"/>
    <tableColumn id="7" xr3:uid="{00000000-0010-0000-0800-000007000000}" name="Status / Nature"/>
    <tableColumn id="8" xr3:uid="{00000000-0010-0000-0800-000008000000}" name="Implication for Review"/>
    <tableColumn id="9" xr3:uid="{00000000-0010-0000-0800-000009000000}" name="Genetic–Linguistic Boundary"/>
    <tableColumn id="10" xr3:uid="{00000000-0010-0000-0800-00000A000000}" name="Evidence Pointer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rgumentOutlineMap" displayName="ArgumentOutlineMap" ref="A4:O23" totalsRowShown="0">
  <tableColumns count="15">
    <tableColumn id="1" xr3:uid="{00000000-0010-0000-0900-000001000000}" name="Step"/>
    <tableColumn id="2" xr3:uid="{00000000-0010-0000-0900-000002000000}" name="Section #"/>
    <tableColumn id="3" xr3:uid="{00000000-0010-0000-0900-000003000000}" name="Major Section"/>
    <tableColumn id="4" xr3:uid="{00000000-0010-0000-0900-000004000000}" name="Subsection"/>
    <tableColumn id="5" xr3:uid="{00000000-0010-0000-0900-000005000000}" name="Argument Function"/>
    <tableColumn id="6" xr3:uid="{00000000-0010-0000-0900-000006000000}" name="Planned Claim / Task"/>
    <tableColumn id="7" xr3:uid="{00000000-0010-0000-0900-000007000000}" name="Evidence to Synthesize"/>
    <tableColumn id="8" xr3:uid="{00000000-0010-0000-0900-000008000000}" name="Key Studies"/>
    <tableColumn id="9" xr3:uid="{00000000-0010-0000-0900-000009000000}" name="Geographic Scope"/>
    <tableColumn id="10" xr3:uid="{00000000-0010-0000-0900-00000A000000}" name="Chronological Role"/>
    <tableColumn id="11" xr3:uid="{00000000-0010-0000-0900-00000B000000}" name="Agreement / Tension / Gap Basis"/>
    <tableColumn id="12" xr3:uid="{00000000-0010-0000-0900-00000C000000}" name="Language Treatment"/>
    <tableColumn id="13" xr3:uid="{00000000-0010-0000-0900-00000D000000}" name="Required Caution"/>
    <tableColumn id="14" xr3:uid="{00000000-0010-0000-0900-00000E000000}" name="Draft Status"/>
    <tableColumn id="15" xr3:uid="{00000000-0010-0000-0900-00000F000000}" name="Evidence Poin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workbookViewId="0">
      <selection sqref="A1:F1"/>
    </sheetView>
  </sheetViews>
  <sheetFormatPr baseColWidth="10" defaultColWidth="8.83203125" defaultRowHeight="15"/>
  <cols>
    <col min="1" max="1" width="34" style="6" customWidth="1"/>
    <col min="2" max="2" width="14" style="6" customWidth="1"/>
    <col min="3" max="3" width="4" style="6" customWidth="1"/>
    <col min="4" max="6" width="22" style="6" customWidth="1"/>
    <col min="7" max="16384" width="8.83203125" style="6"/>
  </cols>
  <sheetData>
    <row r="1" spans="1:6" ht="30" customHeight="1">
      <c r="A1" s="67" t="s">
        <v>0</v>
      </c>
      <c r="B1" s="67"/>
      <c r="C1" s="67"/>
      <c r="D1" s="67"/>
      <c r="E1" s="67"/>
      <c r="F1" s="67"/>
    </row>
    <row r="2" spans="1:6" ht="22" customHeight="1">
      <c r="A2" s="68" t="s">
        <v>1</v>
      </c>
      <c r="B2" s="68"/>
      <c r="C2" s="68"/>
      <c r="D2" s="68"/>
      <c r="E2" s="68"/>
      <c r="F2" s="68"/>
    </row>
    <row r="4" spans="1:6" ht="18">
      <c r="A4" s="7" t="s">
        <v>2</v>
      </c>
      <c r="B4" s="8">
        <f>COUNTA(Inventory!$H$2:$H$19)</f>
        <v>18</v>
      </c>
      <c r="D4" s="66" t="s">
        <v>3</v>
      </c>
      <c r="E4" s="66"/>
      <c r="F4" s="66"/>
    </row>
    <row r="5" spans="1:6" ht="40" customHeight="1">
      <c r="A5" s="9" t="s">
        <v>4</v>
      </c>
      <c r="B5" s="10">
        <f>B4-B8</f>
        <v>17</v>
      </c>
      <c r="D5" s="65" t="s">
        <v>832</v>
      </c>
      <c r="E5" s="65"/>
      <c r="F5" s="65"/>
    </row>
    <row r="6" spans="1:6" ht="40" customHeight="1">
      <c r="A6" s="9" t="s">
        <v>5</v>
      </c>
      <c r="B6" s="10">
        <f>COUNTIF(Inventory!$M$2:$M$19,"AVAILABLE")</f>
        <v>18</v>
      </c>
      <c r="D6" s="65" t="s">
        <v>833</v>
      </c>
      <c r="E6" s="65"/>
      <c r="F6" s="65"/>
    </row>
    <row r="7" spans="1:6" ht="40" customHeight="1">
      <c r="A7" s="9" t="s">
        <v>6</v>
      </c>
      <c r="B7" s="10">
        <f>COUNTIF(Inventory!$N$2:$N$19,"VALID")</f>
        <v>18</v>
      </c>
      <c r="D7" s="65" t="s">
        <v>834</v>
      </c>
      <c r="E7" s="65"/>
      <c r="F7" s="65"/>
    </row>
    <row r="8" spans="1:6" ht="40" customHeight="1">
      <c r="A8" s="9" t="s">
        <v>7</v>
      </c>
      <c r="B8" s="10">
        <f>COUNTIF(Inventory!$Q$2:$Q$19,"DUPLICATE")</f>
        <v>1</v>
      </c>
      <c r="D8" s="65" t="s">
        <v>835</v>
      </c>
      <c r="E8" s="65"/>
      <c r="F8" s="65"/>
    </row>
    <row r="9" spans="1:6" ht="26" customHeight="1">
      <c r="A9" s="9" t="s">
        <v>8</v>
      </c>
      <c r="B9" s="10">
        <f>COUNTBLANK(Inventory!$F$2:$F$19)</f>
        <v>0</v>
      </c>
    </row>
    <row r="10" spans="1:6" ht="26" customHeight="1">
      <c r="A10" s="11" t="s">
        <v>9</v>
      </c>
      <c r="B10" s="8">
        <f>COUNTIF('Screening Decisions'!$F$2:$F$19,"YES")</f>
        <v>17</v>
      </c>
      <c r="D10" s="66" t="s">
        <v>10</v>
      </c>
      <c r="E10" s="66"/>
      <c r="F10" s="66"/>
    </row>
    <row r="11" spans="1:6" ht="36" customHeight="1">
      <c r="A11" s="12" t="s">
        <v>11</v>
      </c>
      <c r="B11" s="13">
        <f>COUNTIFS('Screening Decisions'!$F$2:$F$19,"YES",'Screening Decisions'!$G$2:$G$19,"INCLUDE")</f>
        <v>17</v>
      </c>
      <c r="D11" s="64" t="s">
        <v>12</v>
      </c>
      <c r="E11" s="64"/>
      <c r="F11" s="64"/>
    </row>
    <row r="12" spans="1:6" ht="36" customHeight="1">
      <c r="A12" s="14" t="s">
        <v>13</v>
      </c>
      <c r="B12" s="10">
        <f>COUNTA('Evidence Extraction'!$B$2:$B$16)</f>
        <v>15</v>
      </c>
      <c r="D12" s="64" t="s">
        <v>14</v>
      </c>
      <c r="E12" s="64"/>
      <c r="F12" s="64"/>
    </row>
    <row r="13" spans="1:6" ht="36" customHeight="1">
      <c r="A13" s="15" t="s">
        <v>15</v>
      </c>
      <c r="B13" s="10">
        <f>COUNTA('Synthesis Table'!$A$2:$A$16)</f>
        <v>15</v>
      </c>
      <c r="D13" s="64" t="s">
        <v>16</v>
      </c>
      <c r="E13" s="64"/>
      <c r="F13" s="64"/>
    </row>
    <row r="14" spans="1:6" ht="36" customHeight="1">
      <c r="A14" s="14" t="s">
        <v>17</v>
      </c>
      <c r="B14" s="10">
        <f>COUNTIF('Screening Decisions'!$I$2:$I$19,"BACKGROUND ONLY")</f>
        <v>2</v>
      </c>
      <c r="D14" s="64" t="s">
        <v>18</v>
      </c>
      <c r="E14" s="64"/>
      <c r="F14" s="64"/>
    </row>
    <row r="15" spans="1:6" ht="26" customHeight="1">
      <c r="A15" s="12" t="s">
        <v>19</v>
      </c>
      <c r="B15" s="13">
        <f>COUNTIF('Screening Decisions'!$O$2:$O$19,"EXCLUDE")</f>
        <v>0</v>
      </c>
    </row>
    <row r="16" spans="1:6" ht="19">
      <c r="A16" s="42" t="s">
        <v>836</v>
      </c>
      <c r="B16" s="43">
        <f>COUNTIF('Agreements &amp; Gaps'!$A$5:$A$24,"AGREEMENT")</f>
        <v>6</v>
      </c>
    </row>
    <row r="17" spans="1:2" ht="19">
      <c r="A17" s="42" t="s">
        <v>837</v>
      </c>
      <c r="B17" s="43">
        <f>COUNTIF('Agreements &amp; Gaps'!$A$5:$A$24,"TENSION")</f>
        <v>7</v>
      </c>
    </row>
    <row r="18" spans="1:2" ht="19">
      <c r="A18" s="42" t="s">
        <v>838</v>
      </c>
      <c r="B18" s="43">
        <f>COUNTIF('Agreements &amp; Gaps'!$A$5:$A$24,"GAP")</f>
        <v>7</v>
      </c>
    </row>
    <row r="19" spans="1:2" ht="19">
      <c r="A19" s="62" t="s">
        <v>839</v>
      </c>
      <c r="B19" s="43">
        <f>MAX('Argument Outline'!$B$5:$B$23)</f>
        <v>6</v>
      </c>
    </row>
    <row r="20" spans="1:2" ht="19">
      <c r="A20" s="62" t="s">
        <v>840</v>
      </c>
      <c r="B20" s="43">
        <f>COUNTA('Argument Outline'!$A$5:$A$23)</f>
        <v>19</v>
      </c>
    </row>
  </sheetData>
  <mergeCells count="12">
    <mergeCell ref="A1:F1"/>
    <mergeCell ref="A2:F2"/>
    <mergeCell ref="D4:F4"/>
    <mergeCell ref="D5:F5"/>
    <mergeCell ref="D6:F6"/>
    <mergeCell ref="D13:F13"/>
    <mergeCell ref="D14:F14"/>
    <mergeCell ref="D7:F7"/>
    <mergeCell ref="D8:F8"/>
    <mergeCell ref="D10:F10"/>
    <mergeCell ref="D11:F11"/>
    <mergeCell ref="D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"/>
  <sheetViews>
    <sheetView showGridLines="0" tabSelected="1" workbookViewId="0">
      <selection activeCell="E4" sqref="E4"/>
    </sheetView>
  </sheetViews>
  <sheetFormatPr baseColWidth="10" defaultColWidth="8.83203125" defaultRowHeight="15"/>
  <cols>
    <col min="1" max="1" width="9" customWidth="1"/>
    <col min="2" max="2" width="18" customWidth="1"/>
    <col min="3" max="3" width="8" customWidth="1"/>
    <col min="4" max="4" width="48" customWidth="1"/>
    <col min="5" max="5" width="28" customWidth="1"/>
    <col min="6" max="6" width="27" customWidth="1"/>
    <col min="7" max="7" width="42" customWidth="1"/>
    <col min="8" max="8" width="16" customWidth="1"/>
    <col min="9" max="9" width="29" customWidth="1"/>
    <col min="10" max="10" width="26" customWidth="1"/>
    <col min="11" max="11" width="21.83203125" customWidth="1"/>
    <col min="12" max="12" width="20" customWidth="1"/>
    <col min="13" max="14" width="16" customWidth="1"/>
    <col min="15" max="15" width="11" customWidth="1"/>
    <col min="16" max="16" width="16" customWidth="1"/>
    <col min="17" max="17" width="25" customWidth="1"/>
    <col min="18" max="18" width="18" customWidth="1"/>
    <col min="19" max="19" width="25" customWidth="1"/>
    <col min="20" max="20" width="52" customWidth="1"/>
  </cols>
  <sheetData>
    <row r="1" spans="1:20" ht="34" customHeight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</row>
    <row r="2" spans="1:20" ht="38">
      <c r="A2" s="72">
        <v>1</v>
      </c>
      <c r="B2" s="73" t="s">
        <v>40</v>
      </c>
      <c r="C2" s="72">
        <v>2017</v>
      </c>
      <c r="D2" s="74" t="s">
        <v>41</v>
      </c>
      <c r="E2" s="74" t="s">
        <v>42</v>
      </c>
      <c r="F2" s="74" t="s">
        <v>43</v>
      </c>
      <c r="G2" s="74"/>
      <c r="H2" s="73" t="s">
        <v>44</v>
      </c>
      <c r="I2" s="73" t="s">
        <v>45</v>
      </c>
      <c r="J2" s="73" t="s">
        <v>46</v>
      </c>
      <c r="K2" s="75">
        <v>46266.390277777777</v>
      </c>
      <c r="L2" s="73" t="s">
        <v>47</v>
      </c>
      <c r="M2" s="73" t="s">
        <v>48</v>
      </c>
      <c r="N2" s="73" t="s">
        <v>49</v>
      </c>
      <c r="O2" s="76">
        <v>15</v>
      </c>
      <c r="P2" s="76">
        <v>2799848</v>
      </c>
      <c r="Q2" s="73" t="s">
        <v>50</v>
      </c>
      <c r="R2" s="73" t="s">
        <v>51</v>
      </c>
      <c r="S2" s="73" t="s">
        <v>52</v>
      </c>
      <c r="T2" s="74"/>
    </row>
    <row r="3" spans="1:20" ht="57">
      <c r="A3" s="72">
        <v>2</v>
      </c>
      <c r="B3" s="73" t="s">
        <v>53</v>
      </c>
      <c r="C3" s="72">
        <v>2022</v>
      </c>
      <c r="D3" s="74" t="s">
        <v>54</v>
      </c>
      <c r="E3" s="74" t="s">
        <v>55</v>
      </c>
      <c r="F3" s="74" t="s">
        <v>56</v>
      </c>
      <c r="G3" s="74" t="s">
        <v>57</v>
      </c>
      <c r="H3" s="73" t="s">
        <v>58</v>
      </c>
      <c r="I3" s="73" t="s">
        <v>59</v>
      </c>
      <c r="J3" s="73" t="s">
        <v>46</v>
      </c>
      <c r="K3" s="75">
        <v>46266.389710648145</v>
      </c>
      <c r="L3" s="73" t="s">
        <v>60</v>
      </c>
      <c r="M3" s="73" t="s">
        <v>48</v>
      </c>
      <c r="N3" s="73" t="s">
        <v>49</v>
      </c>
      <c r="O3" s="76">
        <v>43</v>
      </c>
      <c r="P3" s="76">
        <v>8757452</v>
      </c>
      <c r="Q3" s="73" t="s">
        <v>50</v>
      </c>
      <c r="R3" s="73" t="s">
        <v>51</v>
      </c>
      <c r="S3" s="73" t="s">
        <v>61</v>
      </c>
      <c r="T3" s="74"/>
    </row>
    <row r="4" spans="1:20" ht="57">
      <c r="A4" s="72">
        <v>3</v>
      </c>
      <c r="B4" s="73" t="s">
        <v>62</v>
      </c>
      <c r="C4" s="72">
        <v>2021</v>
      </c>
      <c r="D4" s="74" t="s">
        <v>63</v>
      </c>
      <c r="E4" s="74" t="s">
        <v>64</v>
      </c>
      <c r="F4" s="74" t="s">
        <v>65</v>
      </c>
      <c r="G4" s="74" t="s">
        <v>66</v>
      </c>
      <c r="H4" s="73" t="s">
        <v>67</v>
      </c>
      <c r="I4" s="73" t="s">
        <v>68</v>
      </c>
      <c r="J4" s="73" t="s">
        <v>69</v>
      </c>
      <c r="K4" s="75">
        <v>46266.389027777775</v>
      </c>
      <c r="L4" s="73" t="s">
        <v>70</v>
      </c>
      <c r="M4" s="73" t="s">
        <v>48</v>
      </c>
      <c r="N4" s="73" t="s">
        <v>49</v>
      </c>
      <c r="O4" s="76">
        <v>25</v>
      </c>
      <c r="P4" s="76">
        <v>20139128</v>
      </c>
      <c r="Q4" s="73" t="s">
        <v>50</v>
      </c>
      <c r="R4" s="73" t="s">
        <v>51</v>
      </c>
      <c r="S4" s="73" t="s">
        <v>61</v>
      </c>
      <c r="T4" s="74" t="s">
        <v>71</v>
      </c>
    </row>
    <row r="5" spans="1:20" ht="38">
      <c r="A5" s="72">
        <v>4</v>
      </c>
      <c r="B5" s="73" t="s">
        <v>72</v>
      </c>
      <c r="C5" s="72">
        <v>2021</v>
      </c>
      <c r="D5" s="74" t="s">
        <v>73</v>
      </c>
      <c r="E5" s="74" t="s">
        <v>64</v>
      </c>
      <c r="F5" s="74" t="s">
        <v>74</v>
      </c>
      <c r="G5" s="74" t="s">
        <v>75</v>
      </c>
      <c r="H5" s="73" t="s">
        <v>76</v>
      </c>
      <c r="I5" s="73" t="s">
        <v>77</v>
      </c>
      <c r="J5" s="73" t="s">
        <v>46</v>
      </c>
      <c r="K5" s="75">
        <v>46266.387986111113</v>
      </c>
      <c r="L5" s="73" t="s">
        <v>78</v>
      </c>
      <c r="M5" s="73" t="s">
        <v>48</v>
      </c>
      <c r="N5" s="73" t="s">
        <v>49</v>
      </c>
      <c r="O5" s="76">
        <v>24</v>
      </c>
      <c r="P5" s="76">
        <v>12033106</v>
      </c>
      <c r="Q5" s="73" t="s">
        <v>50</v>
      </c>
      <c r="R5" s="73" t="s">
        <v>51</v>
      </c>
      <c r="S5" s="73" t="s">
        <v>79</v>
      </c>
      <c r="T5" s="74"/>
    </row>
    <row r="6" spans="1:20" ht="57">
      <c r="A6" s="72">
        <v>5</v>
      </c>
      <c r="B6" s="73" t="s">
        <v>80</v>
      </c>
      <c r="C6" s="72">
        <v>2021</v>
      </c>
      <c r="D6" s="74" t="s">
        <v>81</v>
      </c>
      <c r="E6" s="74" t="s">
        <v>82</v>
      </c>
      <c r="F6" s="74" t="s">
        <v>83</v>
      </c>
      <c r="G6" s="74" t="s">
        <v>84</v>
      </c>
      <c r="H6" s="73" t="s">
        <v>85</v>
      </c>
      <c r="I6" s="73" t="s">
        <v>86</v>
      </c>
      <c r="J6" s="73" t="s">
        <v>87</v>
      </c>
      <c r="K6" s="75">
        <v>46266.387442129628</v>
      </c>
      <c r="L6" s="73" t="s">
        <v>88</v>
      </c>
      <c r="M6" s="73" t="s">
        <v>48</v>
      </c>
      <c r="N6" s="73" t="s">
        <v>49</v>
      </c>
      <c r="O6" s="76">
        <v>12</v>
      </c>
      <c r="P6" s="76">
        <v>2169520</v>
      </c>
      <c r="Q6" s="73" t="s">
        <v>50</v>
      </c>
      <c r="R6" s="73" t="s">
        <v>51</v>
      </c>
      <c r="S6" s="73" t="s">
        <v>52</v>
      </c>
      <c r="T6" s="74"/>
    </row>
    <row r="7" spans="1:20" ht="57">
      <c r="A7" s="72">
        <v>6</v>
      </c>
      <c r="B7" s="73" t="s">
        <v>89</v>
      </c>
      <c r="C7" s="72">
        <v>2020</v>
      </c>
      <c r="D7" s="74" t="s">
        <v>90</v>
      </c>
      <c r="E7" s="74" t="s">
        <v>91</v>
      </c>
      <c r="F7" s="74" t="s">
        <v>92</v>
      </c>
      <c r="G7" s="74" t="s">
        <v>93</v>
      </c>
      <c r="H7" s="73" t="s">
        <v>94</v>
      </c>
      <c r="I7" s="73" t="s">
        <v>95</v>
      </c>
      <c r="J7" s="73" t="s">
        <v>46</v>
      </c>
      <c r="K7" s="75">
        <v>46266.386493055557</v>
      </c>
      <c r="L7" s="73" t="s">
        <v>96</v>
      </c>
      <c r="M7" s="73" t="s">
        <v>48</v>
      </c>
      <c r="N7" s="73" t="s">
        <v>49</v>
      </c>
      <c r="O7" s="76">
        <v>13</v>
      </c>
      <c r="P7" s="76">
        <v>1658130</v>
      </c>
      <c r="Q7" s="73" t="s">
        <v>50</v>
      </c>
      <c r="R7" s="73" t="s">
        <v>51</v>
      </c>
      <c r="S7" s="73" t="s">
        <v>52</v>
      </c>
      <c r="T7" s="74"/>
    </row>
    <row r="8" spans="1:20" ht="38">
      <c r="A8" s="72">
        <v>7</v>
      </c>
      <c r="B8" s="73" t="s">
        <v>97</v>
      </c>
      <c r="C8" s="72">
        <v>2025</v>
      </c>
      <c r="D8" s="74" t="s">
        <v>98</v>
      </c>
      <c r="E8" s="74" t="s">
        <v>64</v>
      </c>
      <c r="F8" s="74" t="s">
        <v>99</v>
      </c>
      <c r="G8" s="74" t="s">
        <v>100</v>
      </c>
      <c r="H8" s="73" t="s">
        <v>101</v>
      </c>
      <c r="I8" s="73" t="s">
        <v>102</v>
      </c>
      <c r="J8" s="73" t="s">
        <v>69</v>
      </c>
      <c r="K8" s="75">
        <v>46266.385752314818</v>
      </c>
      <c r="L8" s="73" t="s">
        <v>103</v>
      </c>
      <c r="M8" s="73" t="s">
        <v>48</v>
      </c>
      <c r="N8" s="73" t="s">
        <v>49</v>
      </c>
      <c r="O8" s="76">
        <v>29</v>
      </c>
      <c r="P8" s="76">
        <v>24839158</v>
      </c>
      <c r="Q8" s="73" t="s">
        <v>104</v>
      </c>
      <c r="R8" s="73" t="s">
        <v>105</v>
      </c>
      <c r="S8" s="73" t="s">
        <v>105</v>
      </c>
      <c r="T8" s="74" t="s">
        <v>106</v>
      </c>
    </row>
    <row r="9" spans="1:20" ht="57">
      <c r="A9" s="72">
        <v>8</v>
      </c>
      <c r="B9" s="73" t="s">
        <v>107</v>
      </c>
      <c r="C9" s="72">
        <v>2018</v>
      </c>
      <c r="D9" s="74" t="s">
        <v>108</v>
      </c>
      <c r="E9" s="74" t="s">
        <v>109</v>
      </c>
      <c r="F9" s="74" t="s">
        <v>110</v>
      </c>
      <c r="G9" s="74"/>
      <c r="H9" s="73" t="s">
        <v>111</v>
      </c>
      <c r="I9" s="73" t="s">
        <v>112</v>
      </c>
      <c r="J9" s="73" t="s">
        <v>46</v>
      </c>
      <c r="K9" s="75">
        <v>46266.385057870371</v>
      </c>
      <c r="L9" s="73" t="s">
        <v>113</v>
      </c>
      <c r="M9" s="73" t="s">
        <v>48</v>
      </c>
      <c r="N9" s="73" t="s">
        <v>49</v>
      </c>
      <c r="O9" s="76">
        <v>33</v>
      </c>
      <c r="P9" s="76">
        <v>597318</v>
      </c>
      <c r="Q9" s="73" t="s">
        <v>50</v>
      </c>
      <c r="R9" s="73" t="s">
        <v>51</v>
      </c>
      <c r="S9" s="73" t="s">
        <v>79</v>
      </c>
      <c r="T9" s="74"/>
    </row>
    <row r="10" spans="1:20" ht="57">
      <c r="A10" s="72">
        <v>9</v>
      </c>
      <c r="B10" s="73" t="s">
        <v>114</v>
      </c>
      <c r="C10" s="72">
        <v>2017</v>
      </c>
      <c r="D10" s="74" t="s">
        <v>115</v>
      </c>
      <c r="E10" s="74" t="s">
        <v>116</v>
      </c>
      <c r="F10" s="74" t="s">
        <v>117</v>
      </c>
      <c r="G10" s="74" t="s">
        <v>118</v>
      </c>
      <c r="H10" s="73" t="s">
        <v>119</v>
      </c>
      <c r="I10" s="73" t="s">
        <v>120</v>
      </c>
      <c r="J10" s="73" t="s">
        <v>121</v>
      </c>
      <c r="K10" s="75">
        <v>46266.384467592594</v>
      </c>
      <c r="L10" s="73" t="s">
        <v>122</v>
      </c>
      <c r="M10" s="73" t="s">
        <v>48</v>
      </c>
      <c r="N10" s="73" t="s">
        <v>49</v>
      </c>
      <c r="O10" s="76">
        <v>9</v>
      </c>
      <c r="P10" s="76">
        <v>1038667</v>
      </c>
      <c r="Q10" s="73" t="s">
        <v>50</v>
      </c>
      <c r="R10" s="73" t="s">
        <v>51</v>
      </c>
      <c r="S10" s="73" t="s">
        <v>61</v>
      </c>
      <c r="T10" s="74" t="s">
        <v>123</v>
      </c>
    </row>
    <row r="11" spans="1:20" ht="38">
      <c r="A11" s="72">
        <v>10</v>
      </c>
      <c r="B11" s="73" t="s">
        <v>124</v>
      </c>
      <c r="C11" s="72">
        <v>2024</v>
      </c>
      <c r="D11" s="74" t="s">
        <v>125</v>
      </c>
      <c r="E11" s="74" t="s">
        <v>126</v>
      </c>
      <c r="F11" s="74" t="s">
        <v>127</v>
      </c>
      <c r="G11" s="74" t="s">
        <v>128</v>
      </c>
      <c r="H11" s="73" t="s">
        <v>129</v>
      </c>
      <c r="I11" s="73" t="s">
        <v>130</v>
      </c>
      <c r="J11" s="73" t="s">
        <v>69</v>
      </c>
      <c r="K11" s="75">
        <v>46266.383831018517</v>
      </c>
      <c r="L11" s="73" t="s">
        <v>131</v>
      </c>
      <c r="M11" s="73" t="s">
        <v>48</v>
      </c>
      <c r="N11" s="73" t="s">
        <v>49</v>
      </c>
      <c r="O11" s="76">
        <v>28</v>
      </c>
      <c r="P11" s="76">
        <v>14557210</v>
      </c>
      <c r="Q11" s="73" t="s">
        <v>50</v>
      </c>
      <c r="R11" s="73" t="s">
        <v>51</v>
      </c>
      <c r="S11" s="73" t="s">
        <v>52</v>
      </c>
      <c r="T11" s="74"/>
    </row>
    <row r="12" spans="1:20" ht="76">
      <c r="A12" s="72">
        <v>11</v>
      </c>
      <c r="B12" s="73" t="s">
        <v>132</v>
      </c>
      <c r="C12" s="72">
        <v>2026</v>
      </c>
      <c r="D12" s="74" t="s">
        <v>133</v>
      </c>
      <c r="E12" s="74" t="s">
        <v>134</v>
      </c>
      <c r="F12" s="74" t="s">
        <v>135</v>
      </c>
      <c r="G12" s="74" t="s">
        <v>136</v>
      </c>
      <c r="H12" s="73" t="s">
        <v>137</v>
      </c>
      <c r="I12" s="73" t="s">
        <v>138</v>
      </c>
      <c r="J12" s="73" t="s">
        <v>139</v>
      </c>
      <c r="K12" s="75">
        <v>46256.231469907405</v>
      </c>
      <c r="L12" s="73" t="s">
        <v>140</v>
      </c>
      <c r="M12" s="73" t="s">
        <v>48</v>
      </c>
      <c r="N12" s="73" t="s">
        <v>49</v>
      </c>
      <c r="O12" s="76">
        <v>11</v>
      </c>
      <c r="P12" s="76">
        <v>6338020</v>
      </c>
      <c r="Q12" s="73" t="s">
        <v>50</v>
      </c>
      <c r="R12" s="73" t="s">
        <v>51</v>
      </c>
      <c r="S12" s="73" t="s">
        <v>52</v>
      </c>
      <c r="T12" s="74" t="s">
        <v>141</v>
      </c>
    </row>
    <row r="13" spans="1:20" ht="38">
      <c r="A13" s="72">
        <v>12</v>
      </c>
      <c r="B13" s="73" t="s">
        <v>97</v>
      </c>
      <c r="C13" s="72">
        <v>2025</v>
      </c>
      <c r="D13" s="74" t="s">
        <v>98</v>
      </c>
      <c r="E13" s="74" t="s">
        <v>64</v>
      </c>
      <c r="F13" s="74" t="s">
        <v>99</v>
      </c>
      <c r="G13" s="74" t="s">
        <v>100</v>
      </c>
      <c r="H13" s="73" t="s">
        <v>142</v>
      </c>
      <c r="I13" s="73" t="s">
        <v>102</v>
      </c>
      <c r="J13" s="73" t="s">
        <v>69</v>
      </c>
      <c r="K13" s="75">
        <v>46256.259097222224</v>
      </c>
      <c r="L13" s="73" t="s">
        <v>143</v>
      </c>
      <c r="M13" s="73" t="s">
        <v>48</v>
      </c>
      <c r="N13" s="73" t="s">
        <v>49</v>
      </c>
      <c r="O13" s="76">
        <v>29</v>
      </c>
      <c r="P13" s="76">
        <v>24839158</v>
      </c>
      <c r="Q13" s="73" t="s">
        <v>144</v>
      </c>
      <c r="R13" s="73" t="s">
        <v>51</v>
      </c>
      <c r="S13" s="73" t="s">
        <v>61</v>
      </c>
      <c r="T13" s="74" t="s">
        <v>145</v>
      </c>
    </row>
    <row r="14" spans="1:20" ht="57">
      <c r="A14" s="72">
        <v>13</v>
      </c>
      <c r="B14" s="73" t="s">
        <v>146</v>
      </c>
      <c r="C14" s="72">
        <v>2025</v>
      </c>
      <c r="D14" s="74" t="s">
        <v>147</v>
      </c>
      <c r="E14" s="74" t="s">
        <v>64</v>
      </c>
      <c r="F14" s="74" t="s">
        <v>148</v>
      </c>
      <c r="G14" s="74" t="s">
        <v>149</v>
      </c>
      <c r="H14" s="73" t="s">
        <v>150</v>
      </c>
      <c r="I14" s="73" t="s">
        <v>151</v>
      </c>
      <c r="J14" s="73" t="s">
        <v>69</v>
      </c>
      <c r="K14" s="75">
        <v>46256.258935185186</v>
      </c>
      <c r="L14" s="73" t="s">
        <v>152</v>
      </c>
      <c r="M14" s="73" t="s">
        <v>48</v>
      </c>
      <c r="N14" s="73" t="s">
        <v>49</v>
      </c>
      <c r="O14" s="76">
        <v>19</v>
      </c>
      <c r="P14" s="76">
        <v>9250193</v>
      </c>
      <c r="Q14" s="73" t="s">
        <v>50</v>
      </c>
      <c r="R14" s="73" t="s">
        <v>51</v>
      </c>
      <c r="S14" s="73" t="s">
        <v>52</v>
      </c>
      <c r="T14" s="74"/>
    </row>
    <row r="15" spans="1:20" ht="57">
      <c r="A15" s="72">
        <v>14</v>
      </c>
      <c r="B15" s="73" t="s">
        <v>153</v>
      </c>
      <c r="C15" s="72">
        <v>2021</v>
      </c>
      <c r="D15" s="74" t="s">
        <v>154</v>
      </c>
      <c r="E15" s="74" t="s">
        <v>155</v>
      </c>
      <c r="F15" s="74" t="s">
        <v>156</v>
      </c>
      <c r="G15" s="74" t="s">
        <v>157</v>
      </c>
      <c r="H15" s="73" t="s">
        <v>158</v>
      </c>
      <c r="I15" s="73" t="s">
        <v>159</v>
      </c>
      <c r="J15" s="73" t="s">
        <v>160</v>
      </c>
      <c r="K15" s="75">
        <v>46256.257685185185</v>
      </c>
      <c r="L15" s="73" t="s">
        <v>161</v>
      </c>
      <c r="M15" s="73" t="s">
        <v>48</v>
      </c>
      <c r="N15" s="73" t="s">
        <v>49</v>
      </c>
      <c r="O15" s="76">
        <v>17</v>
      </c>
      <c r="P15" s="76">
        <v>2674771</v>
      </c>
      <c r="Q15" s="73" t="s">
        <v>50</v>
      </c>
      <c r="R15" s="73" t="s">
        <v>51</v>
      </c>
      <c r="S15" s="73" t="s">
        <v>52</v>
      </c>
      <c r="T15" s="74" t="s">
        <v>162</v>
      </c>
    </row>
    <row r="16" spans="1:20" ht="38">
      <c r="A16" s="72">
        <v>15</v>
      </c>
      <c r="B16" s="73" t="s">
        <v>163</v>
      </c>
      <c r="C16" s="72">
        <v>2018</v>
      </c>
      <c r="D16" s="74" t="s">
        <v>164</v>
      </c>
      <c r="E16" s="74" t="s">
        <v>64</v>
      </c>
      <c r="F16" s="74" t="s">
        <v>165</v>
      </c>
      <c r="G16" s="74" t="s">
        <v>166</v>
      </c>
      <c r="H16" s="73" t="s">
        <v>167</v>
      </c>
      <c r="I16" s="73" t="s">
        <v>168</v>
      </c>
      <c r="J16" s="73" t="s">
        <v>69</v>
      </c>
      <c r="K16" s="75">
        <v>46256.257430555554</v>
      </c>
      <c r="L16" s="73" t="s">
        <v>169</v>
      </c>
      <c r="M16" s="73" t="s">
        <v>48</v>
      </c>
      <c r="N16" s="73" t="s">
        <v>49</v>
      </c>
      <c r="O16" s="76">
        <v>17</v>
      </c>
      <c r="P16" s="76">
        <v>4355397</v>
      </c>
      <c r="Q16" s="73" t="s">
        <v>50</v>
      </c>
      <c r="R16" s="73" t="s">
        <v>51</v>
      </c>
      <c r="S16" s="73" t="s">
        <v>52</v>
      </c>
      <c r="T16" s="74"/>
    </row>
    <row r="17" spans="1:20" ht="38">
      <c r="A17" s="72">
        <v>16</v>
      </c>
      <c r="B17" s="73" t="s">
        <v>170</v>
      </c>
      <c r="C17" s="72">
        <v>2018</v>
      </c>
      <c r="D17" s="74" t="s">
        <v>171</v>
      </c>
      <c r="E17" s="74" t="s">
        <v>64</v>
      </c>
      <c r="F17" s="74" t="s">
        <v>172</v>
      </c>
      <c r="G17" s="74" t="s">
        <v>173</v>
      </c>
      <c r="H17" s="73" t="s">
        <v>174</v>
      </c>
      <c r="I17" s="73" t="s">
        <v>175</v>
      </c>
      <c r="J17" s="73" t="s">
        <v>69</v>
      </c>
      <c r="K17" s="75">
        <v>46256.257245370369</v>
      </c>
      <c r="L17" s="73" t="s">
        <v>176</v>
      </c>
      <c r="M17" s="73" t="s">
        <v>48</v>
      </c>
      <c r="N17" s="73" t="s">
        <v>49</v>
      </c>
      <c r="O17" s="76">
        <v>22</v>
      </c>
      <c r="P17" s="76">
        <v>5794715</v>
      </c>
      <c r="Q17" s="73" t="s">
        <v>50</v>
      </c>
      <c r="R17" s="73" t="s">
        <v>51</v>
      </c>
      <c r="S17" s="73" t="s">
        <v>52</v>
      </c>
      <c r="T17" s="74"/>
    </row>
    <row r="18" spans="1:20" ht="38">
      <c r="A18" s="72">
        <v>17</v>
      </c>
      <c r="B18" s="73" t="s">
        <v>177</v>
      </c>
      <c r="C18" s="72">
        <v>2015</v>
      </c>
      <c r="D18" s="74" t="s">
        <v>178</v>
      </c>
      <c r="E18" s="74" t="s">
        <v>64</v>
      </c>
      <c r="F18" s="74" t="s">
        <v>179</v>
      </c>
      <c r="G18" s="74" t="s">
        <v>180</v>
      </c>
      <c r="H18" s="73" t="s">
        <v>181</v>
      </c>
      <c r="I18" s="73" t="s">
        <v>182</v>
      </c>
      <c r="J18" s="73" t="s">
        <v>69</v>
      </c>
      <c r="K18" s="75">
        <v>46256.257060185184</v>
      </c>
      <c r="L18" s="73" t="s">
        <v>183</v>
      </c>
      <c r="M18" s="73" t="s">
        <v>48</v>
      </c>
      <c r="N18" s="73" t="s">
        <v>49</v>
      </c>
      <c r="O18" s="76">
        <v>17</v>
      </c>
      <c r="P18" s="76">
        <v>5513099</v>
      </c>
      <c r="Q18" s="73" t="s">
        <v>50</v>
      </c>
      <c r="R18" s="73" t="s">
        <v>51</v>
      </c>
      <c r="S18" s="73" t="s">
        <v>61</v>
      </c>
      <c r="T18" s="74"/>
    </row>
    <row r="19" spans="1:20" ht="57">
      <c r="A19" s="72">
        <v>18</v>
      </c>
      <c r="B19" s="73" t="s">
        <v>184</v>
      </c>
      <c r="C19" s="72">
        <v>2015</v>
      </c>
      <c r="D19" s="74" t="s">
        <v>185</v>
      </c>
      <c r="E19" s="74" t="s">
        <v>64</v>
      </c>
      <c r="F19" s="74" t="s">
        <v>186</v>
      </c>
      <c r="G19" s="74" t="s">
        <v>187</v>
      </c>
      <c r="H19" s="73" t="s">
        <v>188</v>
      </c>
      <c r="I19" s="73" t="s">
        <v>189</v>
      </c>
      <c r="J19" s="73" t="s">
        <v>69</v>
      </c>
      <c r="K19" s="75">
        <v>46256.25677083333</v>
      </c>
      <c r="L19" s="73" t="s">
        <v>190</v>
      </c>
      <c r="M19" s="73" t="s">
        <v>48</v>
      </c>
      <c r="N19" s="73" t="s">
        <v>49</v>
      </c>
      <c r="O19" s="76">
        <v>14</v>
      </c>
      <c r="P19" s="76">
        <v>8248715</v>
      </c>
      <c r="Q19" s="73" t="s">
        <v>50</v>
      </c>
      <c r="R19" s="73" t="s">
        <v>51</v>
      </c>
      <c r="S19" s="73" t="s">
        <v>61</v>
      </c>
      <c r="T19" s="74"/>
    </row>
  </sheetData>
  <conditionalFormatting sqref="Q2:Q19">
    <cfRule type="containsText" dxfId="47" priority="1" operator="containsText" text="DUPLICATE"/>
  </conditionalFormatting>
  <conditionalFormatting sqref="R2:S19">
    <cfRule type="containsText" dxfId="46" priority="2" operator="containsText" text="NOT SCREENED"/>
  </conditionalFormatting>
  <dataValidations count="2">
    <dataValidation type="list" sqref="R2:R19" xr:uid="{00000000-0002-0000-0100-000000000000}">
      <formula1>"NOT SCREENED,INCLUDE,EXCLUDE,BACKGROUND ONLY,UNKNOWN"</formula1>
    </dataValidation>
    <dataValidation type="list" sqref="S2:S19" xr:uid="{00000000-0002-0000-0100-000001000000}">
      <formula1>"NOT SCREENED,INCLUDE - MIGRATION,INCLUDE - LANGUAGE,INCLUDE - MIGRATION + LANGUAGE,BACKGROUND ONLY,EXCLUDE"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showGridLines="0" workbookViewId="0"/>
  </sheetViews>
  <sheetFormatPr baseColWidth="10" defaultColWidth="8.83203125" defaultRowHeight="15"/>
  <cols>
    <col min="1" max="4" width="24" customWidth="1"/>
    <col min="5" max="7" width="48" customWidth="1"/>
  </cols>
  <sheetData>
    <row r="1" spans="1:7" ht="34" customHeight="1">
      <c r="A1" s="16" t="s">
        <v>191</v>
      </c>
      <c r="B1" s="16" t="s">
        <v>192</v>
      </c>
      <c r="C1" s="16" t="s">
        <v>193</v>
      </c>
      <c r="D1" s="16" t="s">
        <v>194</v>
      </c>
      <c r="E1" s="16" t="s">
        <v>195</v>
      </c>
      <c r="F1" s="16" t="s">
        <v>196</v>
      </c>
      <c r="G1" s="16" t="s">
        <v>197</v>
      </c>
    </row>
    <row r="2" spans="1:7" ht="72" customHeight="1">
      <c r="A2" s="5" t="s">
        <v>198</v>
      </c>
      <c r="B2" s="17" t="s">
        <v>199</v>
      </c>
      <c r="C2" s="5" t="s">
        <v>200</v>
      </c>
      <c r="D2" s="5"/>
      <c r="E2" s="5" t="s">
        <v>201</v>
      </c>
      <c r="F2" s="5" t="s">
        <v>202</v>
      </c>
      <c r="G2" s="5" t="s">
        <v>203</v>
      </c>
    </row>
    <row r="3" spans="1:7" ht="72" customHeight="1">
      <c r="A3" s="5" t="s">
        <v>204</v>
      </c>
      <c r="B3" s="17" t="s">
        <v>205</v>
      </c>
      <c r="C3" s="5" t="s">
        <v>67</v>
      </c>
      <c r="D3" s="5" t="s">
        <v>206</v>
      </c>
      <c r="E3" s="5" t="s">
        <v>207</v>
      </c>
      <c r="F3" s="5" t="s">
        <v>208</v>
      </c>
      <c r="G3" s="5" t="s">
        <v>209</v>
      </c>
    </row>
    <row r="4" spans="1:7" ht="72" customHeight="1">
      <c r="A4" s="5" t="s">
        <v>210</v>
      </c>
      <c r="B4" s="17" t="s">
        <v>211</v>
      </c>
      <c r="C4" s="5" t="s">
        <v>137</v>
      </c>
      <c r="D4" s="5"/>
      <c r="E4" s="5" t="s">
        <v>212</v>
      </c>
      <c r="F4" s="5" t="s">
        <v>213</v>
      </c>
      <c r="G4" s="5" t="s">
        <v>214</v>
      </c>
    </row>
    <row r="5" spans="1:7" ht="72" customHeight="1">
      <c r="A5" s="5" t="s">
        <v>215</v>
      </c>
      <c r="B5" s="17" t="s">
        <v>216</v>
      </c>
      <c r="C5" s="5"/>
      <c r="D5" s="5"/>
      <c r="E5" s="5" t="s">
        <v>217</v>
      </c>
      <c r="F5" s="5" t="s">
        <v>218</v>
      </c>
      <c r="G5" s="5" t="s">
        <v>219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showGridLines="0" workbookViewId="0"/>
  </sheetViews>
  <sheetFormatPr baseColWidth="10" defaultColWidth="8.83203125" defaultRowHeight="15"/>
  <cols>
    <col min="1" max="1" width="28" customWidth="1"/>
    <col min="2" max="2" width="58" customWidth="1"/>
    <col min="3" max="3" width="64" customWidth="1"/>
  </cols>
  <sheetData>
    <row r="1" spans="1:3" ht="28" customHeight="1">
      <c r="A1" s="18" t="s">
        <v>220</v>
      </c>
      <c r="B1" s="18" t="s">
        <v>221</v>
      </c>
      <c r="C1" s="18" t="s">
        <v>222</v>
      </c>
    </row>
    <row r="2" spans="1:3" ht="38" customHeight="1">
      <c r="A2" s="19" t="s">
        <v>223</v>
      </c>
      <c r="B2" s="5" t="s">
        <v>224</v>
      </c>
      <c r="C2" s="5" t="s">
        <v>225</v>
      </c>
    </row>
    <row r="3" spans="1:3" ht="38" customHeight="1">
      <c r="A3" s="19" t="s">
        <v>226</v>
      </c>
      <c r="B3" s="5" t="s">
        <v>227</v>
      </c>
      <c r="C3" s="5" t="s">
        <v>228</v>
      </c>
    </row>
    <row r="4" spans="1:3" ht="38" customHeight="1">
      <c r="A4" s="19" t="s">
        <v>229</v>
      </c>
      <c r="B4" s="5" t="s">
        <v>230</v>
      </c>
      <c r="C4" s="5" t="s">
        <v>231</v>
      </c>
    </row>
    <row r="5" spans="1:3" ht="38" customHeight="1">
      <c r="A5" s="19" t="s">
        <v>2</v>
      </c>
      <c r="B5" s="5">
        <v>18</v>
      </c>
      <c r="C5" s="5" t="s">
        <v>232</v>
      </c>
    </row>
    <row r="6" spans="1:3" ht="38" customHeight="1">
      <c r="A6" s="19" t="s">
        <v>233</v>
      </c>
      <c r="B6" s="5">
        <v>19</v>
      </c>
      <c r="C6" s="5" t="s">
        <v>234</v>
      </c>
    </row>
    <row r="7" spans="1:3" ht="38" customHeight="1">
      <c r="A7" s="19" t="s">
        <v>235</v>
      </c>
      <c r="B7" s="5">
        <v>0</v>
      </c>
      <c r="C7" s="5" t="s">
        <v>236</v>
      </c>
    </row>
    <row r="8" spans="1:3" ht="90" customHeight="1">
      <c r="A8" s="19" t="s">
        <v>237</v>
      </c>
      <c r="B8" s="5" t="s">
        <v>238</v>
      </c>
      <c r="C8" s="5" t="s">
        <v>239</v>
      </c>
    </row>
    <row r="9" spans="1:3" ht="38" customHeight="1">
      <c r="A9" s="19" t="s">
        <v>240</v>
      </c>
      <c r="B9" s="5" t="s">
        <v>216</v>
      </c>
      <c r="C9" s="5" t="s">
        <v>241</v>
      </c>
    </row>
    <row r="10" spans="1:3" ht="38" customHeight="1">
      <c r="A10" s="19" t="s">
        <v>242</v>
      </c>
      <c r="B10" s="5" t="s">
        <v>216</v>
      </c>
      <c r="C10" s="5" t="s">
        <v>243</v>
      </c>
    </row>
    <row r="11" spans="1:3" ht="38" customHeight="1">
      <c r="A11" s="19" t="s">
        <v>244</v>
      </c>
      <c r="B11" s="5" t="s">
        <v>216</v>
      </c>
      <c r="C11" s="5" t="s">
        <v>245</v>
      </c>
    </row>
    <row r="12" spans="1:3" ht="38" customHeight="1">
      <c r="A12" s="19" t="s">
        <v>246</v>
      </c>
      <c r="B12" s="5" t="s">
        <v>216</v>
      </c>
      <c r="C12" s="5" t="s">
        <v>245</v>
      </c>
    </row>
    <row r="13" spans="1:3" ht="38" customHeight="1">
      <c r="A13" s="19" t="s">
        <v>247</v>
      </c>
      <c r="B13" s="5" t="s">
        <v>216</v>
      </c>
      <c r="C13" s="5" t="s">
        <v>248</v>
      </c>
    </row>
    <row r="14" spans="1:3" ht="38" customHeight="1">
      <c r="A14" s="19" t="s">
        <v>249</v>
      </c>
      <c r="B14" s="5" t="s">
        <v>216</v>
      </c>
      <c r="C14" s="5" t="s">
        <v>250</v>
      </c>
    </row>
    <row r="15" spans="1:3" ht="38" customHeight="1">
      <c r="A15" s="19" t="s">
        <v>251</v>
      </c>
      <c r="B15" s="5" t="s">
        <v>252</v>
      </c>
      <c r="C15" s="5" t="s">
        <v>253</v>
      </c>
    </row>
    <row r="16" spans="1:3" ht="38" customHeight="1">
      <c r="A16" s="19" t="s">
        <v>254</v>
      </c>
      <c r="B16" s="5" t="s">
        <v>255</v>
      </c>
      <c r="C16" s="5" t="s">
        <v>256</v>
      </c>
    </row>
    <row r="17" spans="1:3" ht="48" customHeight="1">
      <c r="A17" s="2" t="s">
        <v>257</v>
      </c>
      <c r="B17" s="1" t="s">
        <v>258</v>
      </c>
      <c r="C17" s="1" t="s">
        <v>259</v>
      </c>
    </row>
    <row r="18" spans="1:3" ht="48" customHeight="1">
      <c r="A18" s="32" t="s">
        <v>841</v>
      </c>
      <c r="B18" s="1" t="s">
        <v>258</v>
      </c>
      <c r="C18" s="1" t="s">
        <v>842</v>
      </c>
    </row>
    <row r="19" spans="1:3" ht="52" customHeight="1">
      <c r="A19" s="44" t="s">
        <v>843</v>
      </c>
      <c r="B19" s="1" t="s">
        <v>258</v>
      </c>
      <c r="C19" s="1" t="s">
        <v>844</v>
      </c>
    </row>
    <row r="20" spans="1:3" ht="52" customHeight="1">
      <c r="A20" s="63" t="s">
        <v>845</v>
      </c>
      <c r="B20" s="1" t="s">
        <v>846</v>
      </c>
      <c r="C20" s="1" t="s">
        <v>847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"/>
  <sheetViews>
    <sheetView showGridLines="0" workbookViewId="0"/>
  </sheetViews>
  <sheetFormatPr baseColWidth="10" defaultColWidth="8.83203125" defaultRowHeight="15"/>
  <cols>
    <col min="1" max="1" width="9" customWidth="1"/>
    <col min="2" max="2" width="16" customWidth="1"/>
    <col min="3" max="5" width="25" customWidth="1"/>
    <col min="6" max="6" width="20" customWidth="1"/>
    <col min="7" max="7" width="18" customWidth="1"/>
    <col min="8" max="8" width="52" customWidth="1"/>
    <col min="9" max="9" width="29" customWidth="1"/>
    <col min="10" max="10" width="60" customWidth="1"/>
    <col min="11" max="11" width="19" customWidth="1"/>
    <col min="12" max="12" width="34" customWidth="1"/>
    <col min="13" max="13" width="14" customWidth="1"/>
    <col min="14" max="14" width="26" customWidth="1"/>
    <col min="15" max="15" width="22" customWidth="1"/>
    <col min="16" max="16" width="50" customWidth="1"/>
  </cols>
  <sheetData>
    <row r="1" spans="1:16" ht="38" customHeight="1">
      <c r="A1" s="20" t="s">
        <v>20</v>
      </c>
      <c r="B1" s="20" t="s">
        <v>27</v>
      </c>
      <c r="C1" s="20" t="s">
        <v>260</v>
      </c>
      <c r="D1" s="20" t="s">
        <v>36</v>
      </c>
      <c r="E1" s="20" t="s">
        <v>261</v>
      </c>
      <c r="F1" s="20" t="s">
        <v>262</v>
      </c>
      <c r="G1" s="20" t="s">
        <v>37</v>
      </c>
      <c r="H1" s="20" t="s">
        <v>263</v>
      </c>
      <c r="I1" s="20" t="s">
        <v>38</v>
      </c>
      <c r="J1" s="20" t="s">
        <v>264</v>
      </c>
      <c r="K1" s="20" t="s">
        <v>265</v>
      </c>
      <c r="L1" s="20" t="s">
        <v>266</v>
      </c>
      <c r="M1" s="20" t="s">
        <v>267</v>
      </c>
      <c r="N1" s="20" t="s">
        <v>268</v>
      </c>
      <c r="O1" s="20" t="s">
        <v>269</v>
      </c>
      <c r="P1" s="20" t="s">
        <v>270</v>
      </c>
    </row>
    <row r="2" spans="1:16" ht="66" customHeight="1">
      <c r="A2" s="4">
        <v>1</v>
      </c>
      <c r="B2" s="4" t="s">
        <v>44</v>
      </c>
      <c r="C2" s="5" t="s">
        <v>271</v>
      </c>
      <c r="D2" s="5" t="s">
        <v>50</v>
      </c>
      <c r="E2" s="5" t="s">
        <v>272</v>
      </c>
      <c r="F2" s="5" t="s">
        <v>273</v>
      </c>
      <c r="G2" s="5" t="s">
        <v>51</v>
      </c>
      <c r="H2" s="5" t="s">
        <v>274</v>
      </c>
      <c r="I2" s="5" t="s">
        <v>52</v>
      </c>
      <c r="J2" s="5" t="s">
        <v>275</v>
      </c>
      <c r="K2" s="5" t="s">
        <v>276</v>
      </c>
      <c r="L2" s="5" t="s">
        <v>277</v>
      </c>
      <c r="M2" s="5" t="s">
        <v>273</v>
      </c>
      <c r="N2" s="5" t="s">
        <v>278</v>
      </c>
      <c r="O2" s="5" t="s">
        <v>52</v>
      </c>
      <c r="P2" s="5" t="s">
        <v>279</v>
      </c>
    </row>
    <row r="3" spans="1:16" ht="66" customHeight="1">
      <c r="A3" s="4">
        <v>2</v>
      </c>
      <c r="B3" s="4" t="s">
        <v>58</v>
      </c>
      <c r="C3" s="5" t="s">
        <v>280</v>
      </c>
      <c r="D3" s="5" t="s">
        <v>50</v>
      </c>
      <c r="E3" s="5" t="s">
        <v>272</v>
      </c>
      <c r="F3" s="5" t="s">
        <v>273</v>
      </c>
      <c r="G3" s="5" t="s">
        <v>51</v>
      </c>
      <c r="H3" s="5" t="s">
        <v>281</v>
      </c>
      <c r="I3" s="5" t="s">
        <v>61</v>
      </c>
      <c r="J3" s="5" t="s">
        <v>282</v>
      </c>
      <c r="K3" s="5" t="s">
        <v>283</v>
      </c>
      <c r="L3" s="5" t="s">
        <v>284</v>
      </c>
      <c r="M3" s="5" t="s">
        <v>273</v>
      </c>
      <c r="N3" s="5" t="s">
        <v>278</v>
      </c>
      <c r="O3" s="5" t="s">
        <v>61</v>
      </c>
      <c r="P3" s="5" t="s">
        <v>285</v>
      </c>
    </row>
    <row r="4" spans="1:16" ht="66" customHeight="1">
      <c r="A4" s="4">
        <v>3</v>
      </c>
      <c r="B4" s="4" t="s">
        <v>67</v>
      </c>
      <c r="C4" s="5" t="s">
        <v>286</v>
      </c>
      <c r="D4" s="5" t="s">
        <v>50</v>
      </c>
      <c r="E4" s="5" t="s">
        <v>272</v>
      </c>
      <c r="F4" s="5" t="s">
        <v>273</v>
      </c>
      <c r="G4" s="5" t="s">
        <v>51</v>
      </c>
      <c r="H4" s="5" t="s">
        <v>287</v>
      </c>
      <c r="I4" s="5" t="s">
        <v>61</v>
      </c>
      <c r="J4" s="5" t="s">
        <v>288</v>
      </c>
      <c r="K4" s="5" t="s">
        <v>283</v>
      </c>
      <c r="L4" s="5" t="s">
        <v>289</v>
      </c>
      <c r="M4" s="5" t="s">
        <v>273</v>
      </c>
      <c r="N4" s="5" t="s">
        <v>278</v>
      </c>
      <c r="O4" s="5" t="s">
        <v>61</v>
      </c>
      <c r="P4" s="5" t="s">
        <v>290</v>
      </c>
    </row>
    <row r="5" spans="1:16" ht="66" customHeight="1">
      <c r="A5" s="4">
        <v>4</v>
      </c>
      <c r="B5" s="4" t="s">
        <v>76</v>
      </c>
      <c r="C5" s="5" t="s">
        <v>291</v>
      </c>
      <c r="D5" s="5" t="s">
        <v>50</v>
      </c>
      <c r="E5" s="5" t="s">
        <v>292</v>
      </c>
      <c r="F5" s="5" t="s">
        <v>273</v>
      </c>
      <c r="G5" s="5" t="s">
        <v>51</v>
      </c>
      <c r="H5" s="5" t="s">
        <v>293</v>
      </c>
      <c r="I5" s="5" t="s">
        <v>79</v>
      </c>
      <c r="J5" s="5" t="s">
        <v>294</v>
      </c>
      <c r="K5" s="5" t="s">
        <v>283</v>
      </c>
      <c r="L5" s="5" t="s">
        <v>295</v>
      </c>
      <c r="M5" s="5" t="s">
        <v>273</v>
      </c>
      <c r="N5" s="5" t="s">
        <v>296</v>
      </c>
      <c r="O5" s="5" t="s">
        <v>297</v>
      </c>
      <c r="P5" s="5" t="s">
        <v>298</v>
      </c>
    </row>
    <row r="6" spans="1:16" ht="66" customHeight="1">
      <c r="A6" s="4">
        <v>5</v>
      </c>
      <c r="B6" s="4" t="s">
        <v>85</v>
      </c>
      <c r="C6" s="5" t="s">
        <v>299</v>
      </c>
      <c r="D6" s="5" t="s">
        <v>50</v>
      </c>
      <c r="E6" s="5" t="s">
        <v>272</v>
      </c>
      <c r="F6" s="5" t="s">
        <v>273</v>
      </c>
      <c r="G6" s="5" t="s">
        <v>51</v>
      </c>
      <c r="H6" s="5" t="s">
        <v>300</v>
      </c>
      <c r="I6" s="5" t="s">
        <v>52</v>
      </c>
      <c r="J6" s="5" t="s">
        <v>301</v>
      </c>
      <c r="K6" s="5" t="s">
        <v>302</v>
      </c>
      <c r="L6" s="5" t="s">
        <v>303</v>
      </c>
      <c r="M6" s="5" t="s">
        <v>273</v>
      </c>
      <c r="N6" s="5" t="s">
        <v>278</v>
      </c>
      <c r="O6" s="5" t="s">
        <v>52</v>
      </c>
      <c r="P6" s="5" t="s">
        <v>304</v>
      </c>
    </row>
    <row r="7" spans="1:16" ht="66" customHeight="1">
      <c r="A7" s="4">
        <v>6</v>
      </c>
      <c r="B7" s="4" t="s">
        <v>94</v>
      </c>
      <c r="C7" s="5" t="s">
        <v>305</v>
      </c>
      <c r="D7" s="5" t="s">
        <v>50</v>
      </c>
      <c r="E7" s="5" t="s">
        <v>272</v>
      </c>
      <c r="F7" s="5" t="s">
        <v>273</v>
      </c>
      <c r="G7" s="5" t="s">
        <v>51</v>
      </c>
      <c r="H7" s="5" t="s">
        <v>306</v>
      </c>
      <c r="I7" s="5" t="s">
        <v>52</v>
      </c>
      <c r="J7" s="5" t="s">
        <v>307</v>
      </c>
      <c r="K7" s="5" t="s">
        <v>302</v>
      </c>
      <c r="L7" s="5" t="s">
        <v>308</v>
      </c>
      <c r="M7" s="5" t="s">
        <v>273</v>
      </c>
      <c r="N7" s="5" t="s">
        <v>278</v>
      </c>
      <c r="O7" s="5" t="s">
        <v>52</v>
      </c>
      <c r="P7" s="5" t="s">
        <v>309</v>
      </c>
    </row>
    <row r="8" spans="1:16" ht="66" customHeight="1">
      <c r="A8" s="4">
        <v>7</v>
      </c>
      <c r="B8" s="4" t="s">
        <v>101</v>
      </c>
      <c r="C8" s="5" t="s">
        <v>310</v>
      </c>
      <c r="D8" s="5" t="s">
        <v>104</v>
      </c>
      <c r="E8" s="5" t="s">
        <v>311</v>
      </c>
      <c r="F8" s="5" t="s">
        <v>312</v>
      </c>
      <c r="G8" s="5" t="s">
        <v>105</v>
      </c>
      <c r="H8" s="5" t="s">
        <v>313</v>
      </c>
      <c r="I8" s="5" t="s">
        <v>105</v>
      </c>
      <c r="J8" s="5" t="s">
        <v>314</v>
      </c>
      <c r="K8" s="5" t="s">
        <v>315</v>
      </c>
      <c r="L8" s="5" t="s">
        <v>316</v>
      </c>
      <c r="M8" s="5" t="s">
        <v>273</v>
      </c>
      <c r="N8" s="5" t="s">
        <v>317</v>
      </c>
      <c r="O8" s="5" t="s">
        <v>316</v>
      </c>
      <c r="P8" s="5" t="s">
        <v>318</v>
      </c>
    </row>
    <row r="9" spans="1:16" ht="66" customHeight="1">
      <c r="A9" s="4">
        <v>8</v>
      </c>
      <c r="B9" s="4" t="s">
        <v>111</v>
      </c>
      <c r="C9" s="5" t="s">
        <v>319</v>
      </c>
      <c r="D9" s="5" t="s">
        <v>50</v>
      </c>
      <c r="E9" s="5" t="s">
        <v>292</v>
      </c>
      <c r="F9" s="5" t="s">
        <v>273</v>
      </c>
      <c r="G9" s="5" t="s">
        <v>51</v>
      </c>
      <c r="H9" s="5" t="s">
        <v>320</v>
      </c>
      <c r="I9" s="5" t="s">
        <v>79</v>
      </c>
      <c r="J9" s="5" t="s">
        <v>321</v>
      </c>
      <c r="K9" s="5" t="s">
        <v>322</v>
      </c>
      <c r="L9" s="5" t="s">
        <v>323</v>
      </c>
      <c r="M9" s="5" t="s">
        <v>273</v>
      </c>
      <c r="N9" s="5" t="s">
        <v>296</v>
      </c>
      <c r="O9" s="5" t="s">
        <v>297</v>
      </c>
      <c r="P9" s="5" t="s">
        <v>324</v>
      </c>
    </row>
    <row r="10" spans="1:16" ht="66" customHeight="1">
      <c r="A10" s="4">
        <v>9</v>
      </c>
      <c r="B10" s="4" t="s">
        <v>119</v>
      </c>
      <c r="C10" s="5" t="s">
        <v>325</v>
      </c>
      <c r="D10" s="5" t="s">
        <v>50</v>
      </c>
      <c r="E10" s="5" t="s">
        <v>272</v>
      </c>
      <c r="F10" s="5" t="s">
        <v>273</v>
      </c>
      <c r="G10" s="5" t="s">
        <v>51</v>
      </c>
      <c r="H10" s="5" t="s">
        <v>326</v>
      </c>
      <c r="I10" s="5" t="s">
        <v>61</v>
      </c>
      <c r="J10" s="5" t="s">
        <v>327</v>
      </c>
      <c r="K10" s="5" t="s">
        <v>283</v>
      </c>
      <c r="L10" s="5" t="s">
        <v>328</v>
      </c>
      <c r="M10" s="5" t="s">
        <v>273</v>
      </c>
      <c r="N10" s="5" t="s">
        <v>278</v>
      </c>
      <c r="O10" s="5" t="s">
        <v>61</v>
      </c>
      <c r="P10" s="5" t="s">
        <v>329</v>
      </c>
    </row>
    <row r="11" spans="1:16" ht="66" customHeight="1">
      <c r="A11" s="4">
        <v>10</v>
      </c>
      <c r="B11" s="4" t="s">
        <v>129</v>
      </c>
      <c r="C11" s="5" t="s">
        <v>330</v>
      </c>
      <c r="D11" s="5" t="s">
        <v>50</v>
      </c>
      <c r="E11" s="5" t="s">
        <v>272</v>
      </c>
      <c r="F11" s="5" t="s">
        <v>273</v>
      </c>
      <c r="G11" s="5" t="s">
        <v>51</v>
      </c>
      <c r="H11" s="5" t="s">
        <v>331</v>
      </c>
      <c r="I11" s="5" t="s">
        <v>52</v>
      </c>
      <c r="J11" s="5" t="s">
        <v>332</v>
      </c>
      <c r="K11" s="5" t="s">
        <v>302</v>
      </c>
      <c r="L11" s="5" t="s">
        <v>333</v>
      </c>
      <c r="M11" s="5" t="s">
        <v>273</v>
      </c>
      <c r="N11" s="5" t="s">
        <v>278</v>
      </c>
      <c r="O11" s="5" t="s">
        <v>52</v>
      </c>
      <c r="P11" s="5" t="s">
        <v>334</v>
      </c>
    </row>
    <row r="12" spans="1:16" ht="66" customHeight="1">
      <c r="A12" s="4">
        <v>11</v>
      </c>
      <c r="B12" s="4" t="s">
        <v>137</v>
      </c>
      <c r="C12" s="5" t="s">
        <v>335</v>
      </c>
      <c r="D12" s="5" t="s">
        <v>50</v>
      </c>
      <c r="E12" s="5" t="s">
        <v>272</v>
      </c>
      <c r="F12" s="5" t="s">
        <v>273</v>
      </c>
      <c r="G12" s="5" t="s">
        <v>51</v>
      </c>
      <c r="H12" s="5" t="s">
        <v>336</v>
      </c>
      <c r="I12" s="5" t="s">
        <v>52</v>
      </c>
      <c r="J12" s="5" t="s">
        <v>337</v>
      </c>
      <c r="K12" s="5" t="s">
        <v>276</v>
      </c>
      <c r="L12" s="5" t="s">
        <v>338</v>
      </c>
      <c r="M12" s="5" t="s">
        <v>273</v>
      </c>
      <c r="N12" s="5" t="s">
        <v>278</v>
      </c>
      <c r="O12" s="5" t="s">
        <v>52</v>
      </c>
      <c r="P12" s="5" t="s">
        <v>339</v>
      </c>
    </row>
    <row r="13" spans="1:16" ht="66" customHeight="1">
      <c r="A13" s="4">
        <v>12</v>
      </c>
      <c r="B13" s="4" t="s">
        <v>142</v>
      </c>
      <c r="C13" s="5" t="s">
        <v>340</v>
      </c>
      <c r="D13" s="5" t="s">
        <v>144</v>
      </c>
      <c r="E13" s="5" t="s">
        <v>272</v>
      </c>
      <c r="F13" s="5" t="s">
        <v>273</v>
      </c>
      <c r="G13" s="5" t="s">
        <v>51</v>
      </c>
      <c r="H13" s="5" t="s">
        <v>341</v>
      </c>
      <c r="I13" s="5" t="s">
        <v>61</v>
      </c>
      <c r="J13" s="5" t="s">
        <v>342</v>
      </c>
      <c r="K13" s="5" t="s">
        <v>283</v>
      </c>
      <c r="L13" s="5" t="s">
        <v>343</v>
      </c>
      <c r="M13" s="5" t="s">
        <v>273</v>
      </c>
      <c r="N13" s="5" t="s">
        <v>278</v>
      </c>
      <c r="O13" s="5" t="s">
        <v>61</v>
      </c>
      <c r="P13" s="5" t="s">
        <v>344</v>
      </c>
    </row>
    <row r="14" spans="1:16" ht="66" customHeight="1">
      <c r="A14" s="4">
        <v>13</v>
      </c>
      <c r="B14" s="4" t="s">
        <v>150</v>
      </c>
      <c r="C14" s="5" t="s">
        <v>345</v>
      </c>
      <c r="D14" s="5" t="s">
        <v>50</v>
      </c>
      <c r="E14" s="5" t="s">
        <v>272</v>
      </c>
      <c r="F14" s="5" t="s">
        <v>273</v>
      </c>
      <c r="G14" s="5" t="s">
        <v>51</v>
      </c>
      <c r="H14" s="5" t="s">
        <v>346</v>
      </c>
      <c r="I14" s="5" t="s">
        <v>52</v>
      </c>
      <c r="J14" s="5" t="s">
        <v>347</v>
      </c>
      <c r="K14" s="5" t="s">
        <v>302</v>
      </c>
      <c r="L14" s="5" t="s">
        <v>343</v>
      </c>
      <c r="M14" s="5" t="s">
        <v>273</v>
      </c>
      <c r="N14" s="5" t="s">
        <v>278</v>
      </c>
      <c r="O14" s="5" t="s">
        <v>52</v>
      </c>
      <c r="P14" s="5" t="s">
        <v>348</v>
      </c>
    </row>
    <row r="15" spans="1:16" ht="66" customHeight="1">
      <c r="A15" s="4">
        <v>14</v>
      </c>
      <c r="B15" s="4" t="s">
        <v>158</v>
      </c>
      <c r="C15" s="5" t="s">
        <v>349</v>
      </c>
      <c r="D15" s="5" t="s">
        <v>50</v>
      </c>
      <c r="E15" s="5" t="s">
        <v>272</v>
      </c>
      <c r="F15" s="5" t="s">
        <v>273</v>
      </c>
      <c r="G15" s="5" t="s">
        <v>51</v>
      </c>
      <c r="H15" s="5" t="s">
        <v>350</v>
      </c>
      <c r="I15" s="5" t="s">
        <v>52</v>
      </c>
      <c r="J15" s="5" t="s">
        <v>351</v>
      </c>
      <c r="K15" s="5" t="s">
        <v>302</v>
      </c>
      <c r="L15" s="5" t="s">
        <v>352</v>
      </c>
      <c r="M15" s="5" t="s">
        <v>273</v>
      </c>
      <c r="N15" s="5" t="s">
        <v>278</v>
      </c>
      <c r="O15" s="5" t="s">
        <v>52</v>
      </c>
      <c r="P15" s="5" t="s">
        <v>353</v>
      </c>
    </row>
    <row r="16" spans="1:16" ht="66" customHeight="1">
      <c r="A16" s="4">
        <v>15</v>
      </c>
      <c r="B16" s="4" t="s">
        <v>167</v>
      </c>
      <c r="C16" s="5" t="s">
        <v>354</v>
      </c>
      <c r="D16" s="5" t="s">
        <v>50</v>
      </c>
      <c r="E16" s="5" t="s">
        <v>272</v>
      </c>
      <c r="F16" s="5" t="s">
        <v>273</v>
      </c>
      <c r="G16" s="5" t="s">
        <v>51</v>
      </c>
      <c r="H16" s="5" t="s">
        <v>355</v>
      </c>
      <c r="I16" s="5" t="s">
        <v>52</v>
      </c>
      <c r="J16" s="5" t="s">
        <v>356</v>
      </c>
      <c r="K16" s="5" t="s">
        <v>302</v>
      </c>
      <c r="L16" s="5" t="s">
        <v>357</v>
      </c>
      <c r="M16" s="5" t="s">
        <v>273</v>
      </c>
      <c r="N16" s="5" t="s">
        <v>278</v>
      </c>
      <c r="O16" s="5" t="s">
        <v>52</v>
      </c>
      <c r="P16" s="5" t="s">
        <v>358</v>
      </c>
    </row>
    <row r="17" spans="1:16" ht="66" customHeight="1">
      <c r="A17" s="4">
        <v>16</v>
      </c>
      <c r="B17" s="4" t="s">
        <v>174</v>
      </c>
      <c r="C17" s="5" t="s">
        <v>359</v>
      </c>
      <c r="D17" s="5" t="s">
        <v>50</v>
      </c>
      <c r="E17" s="5" t="s">
        <v>272</v>
      </c>
      <c r="F17" s="5" t="s">
        <v>273</v>
      </c>
      <c r="G17" s="5" t="s">
        <v>51</v>
      </c>
      <c r="H17" s="5" t="s">
        <v>360</v>
      </c>
      <c r="I17" s="5" t="s">
        <v>52</v>
      </c>
      <c r="J17" s="5" t="s">
        <v>361</v>
      </c>
      <c r="K17" s="5" t="s">
        <v>302</v>
      </c>
      <c r="L17" s="5" t="s">
        <v>362</v>
      </c>
      <c r="M17" s="5" t="s">
        <v>273</v>
      </c>
      <c r="N17" s="5" t="s">
        <v>278</v>
      </c>
      <c r="O17" s="5" t="s">
        <v>52</v>
      </c>
      <c r="P17" s="5" t="s">
        <v>363</v>
      </c>
    </row>
    <row r="18" spans="1:16" ht="66" customHeight="1">
      <c r="A18" s="4">
        <v>17</v>
      </c>
      <c r="B18" s="4" t="s">
        <v>181</v>
      </c>
      <c r="C18" s="5" t="s">
        <v>364</v>
      </c>
      <c r="D18" s="5" t="s">
        <v>50</v>
      </c>
      <c r="E18" s="5" t="s">
        <v>272</v>
      </c>
      <c r="F18" s="5" t="s">
        <v>273</v>
      </c>
      <c r="G18" s="5" t="s">
        <v>51</v>
      </c>
      <c r="H18" s="5" t="s">
        <v>365</v>
      </c>
      <c r="I18" s="5" t="s">
        <v>61</v>
      </c>
      <c r="J18" s="5" t="s">
        <v>366</v>
      </c>
      <c r="K18" s="5" t="s">
        <v>283</v>
      </c>
      <c r="L18" s="5" t="s">
        <v>367</v>
      </c>
      <c r="M18" s="5" t="s">
        <v>273</v>
      </c>
      <c r="N18" s="5" t="s">
        <v>278</v>
      </c>
      <c r="O18" s="5" t="s">
        <v>61</v>
      </c>
      <c r="P18" s="5" t="s">
        <v>368</v>
      </c>
    </row>
    <row r="19" spans="1:16" ht="66" customHeight="1">
      <c r="A19" s="4">
        <v>18</v>
      </c>
      <c r="B19" s="4" t="s">
        <v>188</v>
      </c>
      <c r="C19" s="5" t="s">
        <v>369</v>
      </c>
      <c r="D19" s="5" t="s">
        <v>50</v>
      </c>
      <c r="E19" s="5" t="s">
        <v>272</v>
      </c>
      <c r="F19" s="5" t="s">
        <v>273</v>
      </c>
      <c r="G19" s="5" t="s">
        <v>51</v>
      </c>
      <c r="H19" s="5" t="s">
        <v>370</v>
      </c>
      <c r="I19" s="5" t="s">
        <v>61</v>
      </c>
      <c r="J19" s="5" t="s">
        <v>371</v>
      </c>
      <c r="K19" s="5" t="s">
        <v>283</v>
      </c>
      <c r="L19" s="5" t="s">
        <v>277</v>
      </c>
      <c r="M19" s="5" t="s">
        <v>273</v>
      </c>
      <c r="N19" s="5" t="s">
        <v>278</v>
      </c>
      <c r="O19" s="5" t="s">
        <v>61</v>
      </c>
      <c r="P19" s="5" t="s">
        <v>372</v>
      </c>
    </row>
  </sheetData>
  <conditionalFormatting sqref="G2:G19">
    <cfRule type="containsText" dxfId="45" priority="1" operator="containsText" text="INCLUDE"/>
    <cfRule type="containsText" dxfId="44" priority="5" operator="containsText" text="INCLUDE"/>
  </conditionalFormatting>
  <conditionalFormatting sqref="G2:I19">
    <cfRule type="containsText" dxfId="43" priority="4" operator="containsText" text="EXCLUDE"/>
    <cfRule type="containsText" dxfId="42" priority="8" operator="containsText" text="EXCLUDE"/>
  </conditionalFormatting>
  <conditionalFormatting sqref="I2:I19">
    <cfRule type="containsText" dxfId="41" priority="2" operator="containsText" text="INCLUDE"/>
    <cfRule type="containsText" dxfId="40" priority="3" operator="containsText" text="BACKGROUND"/>
    <cfRule type="containsText" dxfId="39" priority="6" operator="containsText" text="INCLUDE"/>
    <cfRule type="containsText" dxfId="38" priority="7" operator="containsText" text="BACKGROUND"/>
  </conditionalFormatting>
  <conditionalFormatting sqref="O2:O19">
    <cfRule type="containsText" dxfId="37" priority="9" operator="containsText" text="INCLUDE"/>
    <cfRule type="containsText" dxfId="36" priority="10" operator="containsText" text="NOT ASSESSED"/>
    <cfRule type="containsText" dxfId="35" priority="11" operator="containsText" text="NOT APPLICABLE"/>
  </conditionalFormatting>
  <dataValidations count="4">
    <dataValidation type="list" sqref="G2:G19" xr:uid="{00000000-0002-0000-0400-000000000000}">
      <formula1>"INCLUDE,EXCLUDE,BACKGROUND ONLY,UNKNOWN"</formula1>
    </dataValidation>
    <dataValidation type="list" sqref="I2:I19" xr:uid="{00000000-0002-0000-0400-000001000000}">
      <formula1>"INCLUDE - MIGRATION,INCLUDE - LANGUAGE,INCLUDE - MIGRATION + LANGUAGE,BACKGROUND ONLY,EXCLUDE"</formula1>
    </dataValidation>
    <dataValidation type="list" sqref="K2:K19" xr:uid="{00000000-0002-0000-0400-000002000000}">
      <formula1>"EXPLICIT,INDIRECT,BACKGROUND,NONE,NOT ASSESSED"</formula1>
    </dataValidation>
    <dataValidation type="list" sqref="O2:O19" xr:uid="{00000000-0002-0000-0400-000003000000}">
      <formula1>"INCLUDE - MIGRATION,INCLUDE - LANGUAGE,INCLUDE - MIGRATION + LANGUAGE,BACKGROUND ONLY,EXCLUDE,NOT ASSESSED - BACKGROUND ONLY,NOT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showGridLines="0" workbookViewId="0"/>
  </sheetViews>
  <sheetFormatPr baseColWidth="10" defaultColWidth="8.83203125" defaultRowHeight="15"/>
  <cols>
    <col min="1" max="1" width="48" customWidth="1"/>
    <col min="2" max="2" width="16" customWidth="1"/>
    <col min="3" max="3" width="28" customWidth="1"/>
    <col min="4" max="4" width="52" customWidth="1"/>
    <col min="5" max="5" width="60" customWidth="1"/>
  </cols>
  <sheetData>
    <row r="1" spans="1:5" ht="34" customHeight="1">
      <c r="A1" s="21" t="s">
        <v>373</v>
      </c>
      <c r="B1" s="21" t="s">
        <v>374</v>
      </c>
      <c r="C1" s="21" t="s">
        <v>192</v>
      </c>
      <c r="D1" s="21" t="s">
        <v>375</v>
      </c>
      <c r="E1" s="21" t="s">
        <v>376</v>
      </c>
    </row>
    <row r="2" spans="1:5" ht="48" customHeight="1">
      <c r="A2" s="5" t="s">
        <v>377</v>
      </c>
      <c r="B2" s="22" t="s">
        <v>216</v>
      </c>
      <c r="C2" s="5" t="s">
        <v>378</v>
      </c>
      <c r="D2" s="5" t="s">
        <v>379</v>
      </c>
      <c r="E2" s="5" t="s">
        <v>380</v>
      </c>
    </row>
    <row r="3" spans="1:5" ht="48" customHeight="1">
      <c r="A3" s="5" t="s">
        <v>381</v>
      </c>
      <c r="B3" s="22" t="s">
        <v>216</v>
      </c>
      <c r="C3" s="5" t="s">
        <v>378</v>
      </c>
      <c r="D3" s="5" t="s">
        <v>382</v>
      </c>
      <c r="E3" s="5" t="s">
        <v>383</v>
      </c>
    </row>
    <row r="4" spans="1:5" ht="48" customHeight="1">
      <c r="A4" s="5" t="s">
        <v>384</v>
      </c>
      <c r="B4" s="22">
        <f>COUNTA(Inventory!$H$2:$H$19)</f>
        <v>18</v>
      </c>
      <c r="C4" s="5" t="s">
        <v>385</v>
      </c>
      <c r="D4" s="5" t="s">
        <v>386</v>
      </c>
      <c r="E4" s="5" t="s">
        <v>387</v>
      </c>
    </row>
    <row r="5" spans="1:5" ht="48" customHeight="1">
      <c r="A5" s="5" t="s">
        <v>388</v>
      </c>
      <c r="B5" s="22">
        <f>COUNTIF('Screening Decisions'!$D$2:$D$19,"DUPLICATE")</f>
        <v>1</v>
      </c>
      <c r="C5" s="5" t="s">
        <v>389</v>
      </c>
      <c r="D5" s="5" t="s">
        <v>311</v>
      </c>
      <c r="E5" s="5" t="s">
        <v>390</v>
      </c>
    </row>
    <row r="6" spans="1:5" ht="48" customHeight="1">
      <c r="A6" s="5" t="s">
        <v>391</v>
      </c>
      <c r="B6" s="22">
        <f>B4-B5</f>
        <v>17</v>
      </c>
      <c r="C6" s="5" t="s">
        <v>389</v>
      </c>
      <c r="D6" s="5" t="s">
        <v>392</v>
      </c>
      <c r="E6" s="5" t="s">
        <v>393</v>
      </c>
    </row>
    <row r="7" spans="1:5" ht="48" customHeight="1">
      <c r="A7" s="5" t="s">
        <v>394</v>
      </c>
      <c r="B7" s="22">
        <f>COUNTIF('Screening Decisions'!$F$2:$F$19,"YES")</f>
        <v>17</v>
      </c>
      <c r="C7" s="5" t="s">
        <v>258</v>
      </c>
      <c r="D7" s="5" t="s">
        <v>395</v>
      </c>
      <c r="E7" s="5" t="s">
        <v>396</v>
      </c>
    </row>
    <row r="8" spans="1:5" ht="48" customHeight="1">
      <c r="A8" s="5" t="s">
        <v>397</v>
      </c>
      <c r="B8" s="22">
        <f>COUNTIFS('Screening Decisions'!$F$2:$F$19,"YES",'Screening Decisions'!$G$2:$G$19,"EXCLUDE")</f>
        <v>0</v>
      </c>
      <c r="C8" s="5" t="s">
        <v>258</v>
      </c>
      <c r="D8" s="5" t="s">
        <v>395</v>
      </c>
      <c r="E8" s="5" t="s">
        <v>398</v>
      </c>
    </row>
    <row r="9" spans="1:5" ht="48" customHeight="1">
      <c r="A9" s="5" t="s">
        <v>399</v>
      </c>
      <c r="B9" s="22">
        <f>COUNTIFS('Screening Decisions'!$F$2:$F$19,"YES",'Screening Decisions'!$G$2:$G$19,"INCLUDE")</f>
        <v>17</v>
      </c>
      <c r="C9" s="5" t="s">
        <v>258</v>
      </c>
      <c r="D9" s="5" t="s">
        <v>395</v>
      </c>
      <c r="E9" s="5" t="s">
        <v>400</v>
      </c>
    </row>
    <row r="10" spans="1:5" ht="48" customHeight="1">
      <c r="A10" s="5" t="s">
        <v>401</v>
      </c>
      <c r="B10" s="22">
        <f>COUNTIF('Screening Decisions'!$I$2:$I$19,"BACKGROUND ONLY")</f>
        <v>2</v>
      </c>
      <c r="C10" s="5" t="s">
        <v>258</v>
      </c>
      <c r="D10" s="5" t="s">
        <v>402</v>
      </c>
      <c r="E10" s="5" t="s">
        <v>403</v>
      </c>
    </row>
    <row r="11" spans="1:5" ht="48" customHeight="1">
      <c r="A11" s="5" t="s">
        <v>404</v>
      </c>
      <c r="B11" s="22">
        <f>COUNTIF('Screening Decisions'!$N$2:$N$19,"ADVANCE")</f>
        <v>15</v>
      </c>
      <c r="C11" s="5" t="s">
        <v>258</v>
      </c>
      <c r="D11" s="5" t="s">
        <v>405</v>
      </c>
      <c r="E11" s="5" t="s">
        <v>406</v>
      </c>
    </row>
    <row r="12" spans="1:5" ht="48" customHeight="1">
      <c r="A12" s="5" t="s">
        <v>407</v>
      </c>
      <c r="B12" s="22">
        <f>COUNTA('Evidence Extraction'!$B$2:$B$16)</f>
        <v>15</v>
      </c>
      <c r="C12" s="5" t="s">
        <v>258</v>
      </c>
      <c r="D12" s="5" t="s">
        <v>408</v>
      </c>
      <c r="E12" s="5" t="s">
        <v>409</v>
      </c>
    </row>
    <row r="13" spans="1:5" ht="48" customHeight="1">
      <c r="A13" s="5" t="s">
        <v>410</v>
      </c>
      <c r="B13" s="22">
        <f>B11-B12</f>
        <v>0</v>
      </c>
      <c r="C13" s="5" t="s">
        <v>258</v>
      </c>
      <c r="D13" s="5" t="s">
        <v>411</v>
      </c>
      <c r="E13" s="5" t="s">
        <v>412</v>
      </c>
    </row>
    <row r="14" spans="1:5" ht="48" customHeight="1">
      <c r="A14" s="5" t="s">
        <v>413</v>
      </c>
      <c r="B14" s="22">
        <f>COUNTA('Evidence Extraction'!$B$2:$B$16)</f>
        <v>15</v>
      </c>
      <c r="C14" s="5" t="s">
        <v>258</v>
      </c>
      <c r="D14" s="5" t="s">
        <v>414</v>
      </c>
      <c r="E14" s="5" t="s">
        <v>415</v>
      </c>
    </row>
    <row r="15" spans="1:5" ht="48" customHeight="1">
      <c r="A15" s="5" t="s">
        <v>416</v>
      </c>
      <c r="B15" s="22">
        <f>COUNTIF('Screening Decisions'!$O$2:$O$19,"EXCLUDE")</f>
        <v>0</v>
      </c>
      <c r="C15" s="5" t="s">
        <v>258</v>
      </c>
      <c r="D15" s="5" t="s">
        <v>417</v>
      </c>
      <c r="E15" s="5" t="s">
        <v>418</v>
      </c>
    </row>
    <row r="16" spans="1:5" ht="48" customHeight="1">
      <c r="A16" s="5" t="s">
        <v>419</v>
      </c>
      <c r="B16" s="22">
        <f>COUNTIF('Screening Decisions'!$O$2:$O$19,"INCLUDE - MIGRATION")+COUNTIF('Screening Decisions'!$O$2:$O$19,"INCLUDE - LANGUAGE")+COUNTIF('Screening Decisions'!$O$2:$O$19,"INCLUDE - MIGRATION + LANGUAGE")</f>
        <v>15</v>
      </c>
      <c r="C16" s="5" t="s">
        <v>258</v>
      </c>
      <c r="D16" s="5" t="s">
        <v>420</v>
      </c>
      <c r="E16" s="5" t="s">
        <v>421</v>
      </c>
    </row>
    <row r="17" spans="1:5" ht="48" customHeight="1">
      <c r="A17" s="5" t="s">
        <v>422</v>
      </c>
      <c r="B17" s="22">
        <f>COUNTIFS('Screening Decisions'!$F$2:$F$19,"YES",'Screening Decisions'!$G$2:$G$19,"INCLUDE")</f>
        <v>17</v>
      </c>
      <c r="C17" s="5" t="s">
        <v>258</v>
      </c>
      <c r="D17" s="5" t="s">
        <v>423</v>
      </c>
      <c r="E17" s="5" t="s">
        <v>424</v>
      </c>
    </row>
  </sheetData>
  <conditionalFormatting sqref="C2:C17">
    <cfRule type="containsText" dxfId="34" priority="1" operator="containsText" text="COMPLETE"/>
    <cfRule type="containsText" dxfId="33" priority="2" operator="containsText" text="UNRESOLVED"/>
    <cfRule type="containsText" dxfId="32" priority="3" operator="containsText" text="OBSERVED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6"/>
  <sheetViews>
    <sheetView showGridLines="0" workbookViewId="0"/>
  </sheetViews>
  <sheetFormatPr baseColWidth="10" defaultColWidth="8.83203125" defaultRowHeight="15"/>
  <cols>
    <col min="1" max="1" width="22" customWidth="1"/>
    <col min="2" max="2" width="16" customWidth="1"/>
    <col min="3" max="3" width="27" customWidth="1"/>
    <col min="4" max="4" width="34" customWidth="1"/>
    <col min="5" max="5" width="48" customWidth="1"/>
    <col min="6" max="6" width="30" customWidth="1"/>
    <col min="7" max="7" width="48" customWidth="1"/>
    <col min="8" max="8" width="52" customWidth="1"/>
    <col min="9" max="9" width="64" customWidth="1"/>
    <col min="10" max="10" width="32" customWidth="1"/>
    <col min="11" max="11" width="34" customWidth="1"/>
    <col min="12" max="13" width="42" customWidth="1"/>
    <col min="14" max="14" width="52" customWidth="1"/>
    <col min="15" max="15" width="60" customWidth="1"/>
    <col min="16" max="16" width="20" customWidth="1"/>
    <col min="17" max="18" width="58" customWidth="1"/>
    <col min="19" max="19" width="52" customWidth="1"/>
    <col min="20" max="20" width="58" customWidth="1"/>
    <col min="21" max="21" width="62" customWidth="1"/>
    <col min="22" max="22" width="30" customWidth="1"/>
    <col min="23" max="23" width="28" customWidth="1"/>
    <col min="24" max="24" width="44" customWidth="1"/>
  </cols>
  <sheetData>
    <row r="1" spans="1:24" ht="42" customHeight="1">
      <c r="A1" s="23" t="s">
        <v>260</v>
      </c>
      <c r="B1" s="23" t="s">
        <v>27</v>
      </c>
      <c r="C1" s="23" t="s">
        <v>25</v>
      </c>
      <c r="D1" s="23" t="s">
        <v>425</v>
      </c>
      <c r="E1" s="23" t="s">
        <v>426</v>
      </c>
      <c r="F1" s="23" t="s">
        <v>427</v>
      </c>
      <c r="G1" s="23" t="s">
        <v>428</v>
      </c>
      <c r="H1" s="23" t="s">
        <v>429</v>
      </c>
      <c r="I1" s="23" t="s">
        <v>430</v>
      </c>
      <c r="J1" s="23" t="s">
        <v>431</v>
      </c>
      <c r="K1" s="23" t="s">
        <v>432</v>
      </c>
      <c r="L1" s="23" t="s">
        <v>433</v>
      </c>
      <c r="M1" s="23" t="s">
        <v>434</v>
      </c>
      <c r="N1" s="23" t="s">
        <v>435</v>
      </c>
      <c r="O1" s="23" t="s">
        <v>436</v>
      </c>
      <c r="P1" s="23" t="s">
        <v>265</v>
      </c>
      <c r="Q1" s="23" t="s">
        <v>437</v>
      </c>
      <c r="R1" s="23" t="s">
        <v>438</v>
      </c>
      <c r="S1" s="23" t="s">
        <v>439</v>
      </c>
      <c r="T1" s="23" t="s">
        <v>440</v>
      </c>
      <c r="U1" s="23" t="s">
        <v>441</v>
      </c>
      <c r="V1" s="23" t="s">
        <v>442</v>
      </c>
      <c r="W1" s="23" t="s">
        <v>443</v>
      </c>
      <c r="X1" s="23" t="s">
        <v>270</v>
      </c>
    </row>
    <row r="2" spans="1:24" ht="108" customHeight="1">
      <c r="A2" s="4" t="s">
        <v>271</v>
      </c>
      <c r="B2" s="4" t="s">
        <v>44</v>
      </c>
      <c r="C2" s="4" t="s">
        <v>43</v>
      </c>
      <c r="D2" s="5" t="s">
        <v>444</v>
      </c>
      <c r="E2" s="5" t="s">
        <v>445</v>
      </c>
      <c r="F2" s="5" t="s">
        <v>446</v>
      </c>
      <c r="G2" s="5" t="s">
        <v>447</v>
      </c>
      <c r="H2" s="5" t="s">
        <v>448</v>
      </c>
      <c r="I2" s="5" t="s">
        <v>449</v>
      </c>
      <c r="J2" s="5" t="s">
        <v>450</v>
      </c>
      <c r="K2" s="5" t="s">
        <v>451</v>
      </c>
      <c r="L2" s="5" t="s">
        <v>452</v>
      </c>
      <c r="M2" s="5" t="s">
        <v>453</v>
      </c>
      <c r="N2" s="5" t="s">
        <v>454</v>
      </c>
      <c r="O2" s="5" t="s">
        <v>455</v>
      </c>
      <c r="P2" s="5" t="s">
        <v>276</v>
      </c>
      <c r="Q2" s="5" t="s">
        <v>456</v>
      </c>
      <c r="R2" s="5" t="s">
        <v>457</v>
      </c>
      <c r="S2" s="5" t="s">
        <v>458</v>
      </c>
      <c r="T2" s="5" t="s">
        <v>459</v>
      </c>
      <c r="U2" s="5" t="s">
        <v>460</v>
      </c>
      <c r="V2" s="5" t="s">
        <v>52</v>
      </c>
      <c r="W2" s="5" t="s">
        <v>461</v>
      </c>
      <c r="X2" s="5" t="s">
        <v>462</v>
      </c>
    </row>
    <row r="3" spans="1:24" ht="108" customHeight="1">
      <c r="A3" s="4" t="s">
        <v>280</v>
      </c>
      <c r="B3" s="4" t="s">
        <v>58</v>
      </c>
      <c r="C3" s="4" t="s">
        <v>56</v>
      </c>
      <c r="D3" s="5" t="s">
        <v>463</v>
      </c>
      <c r="E3" s="5" t="s">
        <v>464</v>
      </c>
      <c r="F3" s="5" t="s">
        <v>465</v>
      </c>
      <c r="G3" s="5" t="s">
        <v>466</v>
      </c>
      <c r="H3" s="5" t="s">
        <v>467</v>
      </c>
      <c r="I3" s="5" t="s">
        <v>468</v>
      </c>
      <c r="J3" s="5" t="s">
        <v>469</v>
      </c>
      <c r="K3" s="5" t="s">
        <v>470</v>
      </c>
      <c r="L3" s="5" t="s">
        <v>471</v>
      </c>
      <c r="M3" s="5" t="s">
        <v>472</v>
      </c>
      <c r="N3" s="5" t="s">
        <v>473</v>
      </c>
      <c r="O3" s="5" t="s">
        <v>474</v>
      </c>
      <c r="P3" s="5" t="s">
        <v>283</v>
      </c>
      <c r="Q3" s="5" t="s">
        <v>475</v>
      </c>
      <c r="R3" s="5" t="s">
        <v>476</v>
      </c>
      <c r="S3" s="5" t="s">
        <v>477</v>
      </c>
      <c r="T3" s="5" t="s">
        <v>478</v>
      </c>
      <c r="U3" s="5" t="s">
        <v>479</v>
      </c>
      <c r="V3" s="5" t="s">
        <v>61</v>
      </c>
      <c r="W3" s="5" t="s">
        <v>480</v>
      </c>
      <c r="X3" s="5" t="s">
        <v>481</v>
      </c>
    </row>
    <row r="4" spans="1:24" ht="108" customHeight="1">
      <c r="A4" s="4" t="s">
        <v>286</v>
      </c>
      <c r="B4" s="4" t="s">
        <v>67</v>
      </c>
      <c r="C4" s="4" t="s">
        <v>65</v>
      </c>
      <c r="D4" s="5" t="s">
        <v>482</v>
      </c>
      <c r="E4" s="5" t="s">
        <v>483</v>
      </c>
      <c r="F4" s="5" t="s">
        <v>484</v>
      </c>
      <c r="G4" s="5" t="s">
        <v>485</v>
      </c>
      <c r="H4" s="5" t="s">
        <v>486</v>
      </c>
      <c r="I4" s="5" t="s">
        <v>487</v>
      </c>
      <c r="J4" s="5" t="s">
        <v>488</v>
      </c>
      <c r="K4" s="5" t="s">
        <v>489</v>
      </c>
      <c r="L4" s="5" t="s">
        <v>490</v>
      </c>
      <c r="M4" s="5" t="s">
        <v>491</v>
      </c>
      <c r="N4" s="5" t="s">
        <v>492</v>
      </c>
      <c r="O4" s="5" t="s">
        <v>493</v>
      </c>
      <c r="P4" s="5" t="s">
        <v>283</v>
      </c>
      <c r="Q4" s="5" t="s">
        <v>494</v>
      </c>
      <c r="R4" s="5" t="s">
        <v>495</v>
      </c>
      <c r="S4" s="5" t="s">
        <v>496</v>
      </c>
      <c r="T4" s="5" t="s">
        <v>497</v>
      </c>
      <c r="U4" s="5" t="s">
        <v>498</v>
      </c>
      <c r="V4" s="5" t="s">
        <v>61</v>
      </c>
      <c r="W4" s="5" t="s">
        <v>499</v>
      </c>
      <c r="X4" s="5" t="s">
        <v>500</v>
      </c>
    </row>
    <row r="5" spans="1:24" ht="108" customHeight="1">
      <c r="A5" s="4" t="s">
        <v>299</v>
      </c>
      <c r="B5" s="4" t="s">
        <v>85</v>
      </c>
      <c r="C5" s="4" t="s">
        <v>83</v>
      </c>
      <c r="D5" s="5" t="s">
        <v>501</v>
      </c>
      <c r="E5" s="5" t="s">
        <v>502</v>
      </c>
      <c r="F5" s="5" t="s">
        <v>503</v>
      </c>
      <c r="G5" s="5" t="s">
        <v>504</v>
      </c>
      <c r="H5" s="5" t="s">
        <v>505</v>
      </c>
      <c r="I5" s="5" t="s">
        <v>506</v>
      </c>
      <c r="J5" s="5" t="s">
        <v>507</v>
      </c>
      <c r="K5" s="5" t="s">
        <v>508</v>
      </c>
      <c r="L5" s="5" t="s">
        <v>509</v>
      </c>
      <c r="M5" s="5" t="s">
        <v>510</v>
      </c>
      <c r="N5" s="5" t="s">
        <v>511</v>
      </c>
      <c r="O5" s="5" t="s">
        <v>512</v>
      </c>
      <c r="P5" s="5" t="s">
        <v>302</v>
      </c>
      <c r="Q5" s="5" t="s">
        <v>513</v>
      </c>
      <c r="R5" s="5" t="s">
        <v>514</v>
      </c>
      <c r="S5" s="5" t="s">
        <v>515</v>
      </c>
      <c r="T5" s="5" t="s">
        <v>516</v>
      </c>
      <c r="U5" s="5" t="s">
        <v>517</v>
      </c>
      <c r="V5" s="5" t="s">
        <v>52</v>
      </c>
      <c r="W5" s="5" t="s">
        <v>518</v>
      </c>
      <c r="X5" s="5" t="s">
        <v>519</v>
      </c>
    </row>
    <row r="6" spans="1:24" ht="108" customHeight="1">
      <c r="A6" s="4" t="s">
        <v>305</v>
      </c>
      <c r="B6" s="4" t="s">
        <v>94</v>
      </c>
      <c r="C6" s="4" t="s">
        <v>92</v>
      </c>
      <c r="D6" s="5" t="s">
        <v>520</v>
      </c>
      <c r="E6" s="5" t="s">
        <v>521</v>
      </c>
      <c r="F6" s="5" t="s">
        <v>522</v>
      </c>
      <c r="G6" s="5" t="s">
        <v>523</v>
      </c>
      <c r="H6" s="5" t="s">
        <v>524</v>
      </c>
      <c r="I6" s="5" t="s">
        <v>525</v>
      </c>
      <c r="J6" s="5" t="s">
        <v>526</v>
      </c>
      <c r="K6" s="5" t="s">
        <v>527</v>
      </c>
      <c r="L6" s="5" t="s">
        <v>528</v>
      </c>
      <c r="M6" s="5" t="s">
        <v>529</v>
      </c>
      <c r="N6" s="5" t="s">
        <v>530</v>
      </c>
      <c r="O6" s="5" t="s">
        <v>531</v>
      </c>
      <c r="P6" s="5" t="s">
        <v>302</v>
      </c>
      <c r="Q6" s="5" t="s">
        <v>532</v>
      </c>
      <c r="R6" s="5" t="s">
        <v>533</v>
      </c>
      <c r="S6" s="5" t="s">
        <v>534</v>
      </c>
      <c r="T6" s="5" t="s">
        <v>535</v>
      </c>
      <c r="U6" s="5" t="s">
        <v>536</v>
      </c>
      <c r="V6" s="5" t="s">
        <v>52</v>
      </c>
      <c r="W6" s="5" t="s">
        <v>537</v>
      </c>
      <c r="X6" s="5" t="s">
        <v>538</v>
      </c>
    </row>
    <row r="7" spans="1:24" ht="108" customHeight="1">
      <c r="A7" s="4" t="s">
        <v>325</v>
      </c>
      <c r="B7" s="4" t="s">
        <v>119</v>
      </c>
      <c r="C7" s="4" t="s">
        <v>117</v>
      </c>
      <c r="D7" s="5" t="s">
        <v>539</v>
      </c>
      <c r="E7" s="5" t="s">
        <v>540</v>
      </c>
      <c r="F7" s="5" t="s">
        <v>541</v>
      </c>
      <c r="G7" s="5" t="s">
        <v>542</v>
      </c>
      <c r="H7" s="5" t="s">
        <v>543</v>
      </c>
      <c r="I7" s="5" t="s">
        <v>544</v>
      </c>
      <c r="J7" s="5" t="s">
        <v>545</v>
      </c>
      <c r="K7" s="5" t="s">
        <v>546</v>
      </c>
      <c r="L7" s="5" t="s">
        <v>547</v>
      </c>
      <c r="M7" s="5" t="s">
        <v>548</v>
      </c>
      <c r="N7" s="5" t="s">
        <v>549</v>
      </c>
      <c r="O7" s="5" t="s">
        <v>550</v>
      </c>
      <c r="P7" s="5" t="s">
        <v>283</v>
      </c>
      <c r="Q7" s="5" t="s">
        <v>551</v>
      </c>
      <c r="R7" s="5" t="s">
        <v>552</v>
      </c>
      <c r="S7" s="5" t="s">
        <v>553</v>
      </c>
      <c r="T7" s="5" t="s">
        <v>554</v>
      </c>
      <c r="U7" s="5" t="s">
        <v>555</v>
      </c>
      <c r="V7" s="5" t="s">
        <v>61</v>
      </c>
      <c r="W7" s="5" t="s">
        <v>556</v>
      </c>
      <c r="X7" s="5" t="s">
        <v>557</v>
      </c>
    </row>
    <row r="8" spans="1:24" ht="108" customHeight="1">
      <c r="A8" s="4" t="s">
        <v>330</v>
      </c>
      <c r="B8" s="4" t="s">
        <v>129</v>
      </c>
      <c r="C8" s="4" t="s">
        <v>127</v>
      </c>
      <c r="D8" s="5" t="s">
        <v>558</v>
      </c>
      <c r="E8" s="5" t="s">
        <v>559</v>
      </c>
      <c r="F8" s="5" t="s">
        <v>560</v>
      </c>
      <c r="G8" s="5" t="s">
        <v>561</v>
      </c>
      <c r="H8" s="5" t="s">
        <v>562</v>
      </c>
      <c r="I8" s="5" t="s">
        <v>563</v>
      </c>
      <c r="J8" s="5" t="s">
        <v>564</v>
      </c>
      <c r="K8" s="5" t="s">
        <v>565</v>
      </c>
      <c r="L8" s="5" t="s">
        <v>566</v>
      </c>
      <c r="M8" s="5" t="s">
        <v>567</v>
      </c>
      <c r="N8" s="5" t="s">
        <v>568</v>
      </c>
      <c r="O8" s="5" t="s">
        <v>569</v>
      </c>
      <c r="P8" s="5" t="s">
        <v>302</v>
      </c>
      <c r="Q8" s="5" t="s">
        <v>570</v>
      </c>
      <c r="R8" s="5" t="s">
        <v>571</v>
      </c>
      <c r="S8" s="5" t="s">
        <v>572</v>
      </c>
      <c r="T8" s="5" t="s">
        <v>573</v>
      </c>
      <c r="U8" s="5" t="s">
        <v>574</v>
      </c>
      <c r="V8" s="5" t="s">
        <v>52</v>
      </c>
      <c r="W8" s="5" t="s">
        <v>575</v>
      </c>
      <c r="X8" s="5" t="s">
        <v>576</v>
      </c>
    </row>
    <row r="9" spans="1:24" ht="108" customHeight="1">
      <c r="A9" s="4" t="s">
        <v>335</v>
      </c>
      <c r="B9" s="4" t="s">
        <v>137</v>
      </c>
      <c r="C9" s="4" t="s">
        <v>135</v>
      </c>
      <c r="D9" s="5" t="s">
        <v>577</v>
      </c>
      <c r="E9" s="5" t="s">
        <v>578</v>
      </c>
      <c r="F9" s="5" t="s">
        <v>579</v>
      </c>
      <c r="G9" s="5" t="s">
        <v>580</v>
      </c>
      <c r="H9" s="5" t="s">
        <v>581</v>
      </c>
      <c r="I9" s="5" t="s">
        <v>582</v>
      </c>
      <c r="J9" s="5" t="s">
        <v>583</v>
      </c>
      <c r="K9" s="5" t="s">
        <v>584</v>
      </c>
      <c r="L9" s="5" t="s">
        <v>585</v>
      </c>
      <c r="M9" s="5" t="s">
        <v>586</v>
      </c>
      <c r="N9" s="5" t="s">
        <v>587</v>
      </c>
      <c r="O9" s="5" t="s">
        <v>588</v>
      </c>
      <c r="P9" s="5" t="s">
        <v>276</v>
      </c>
      <c r="Q9" s="5" t="s">
        <v>589</v>
      </c>
      <c r="R9" s="5" t="s">
        <v>590</v>
      </c>
      <c r="S9" s="5" t="s">
        <v>591</v>
      </c>
      <c r="T9" s="5" t="s">
        <v>592</v>
      </c>
      <c r="U9" s="5" t="s">
        <v>593</v>
      </c>
      <c r="V9" s="5" t="s">
        <v>52</v>
      </c>
      <c r="W9" s="5" t="s">
        <v>594</v>
      </c>
      <c r="X9" s="5" t="s">
        <v>595</v>
      </c>
    </row>
    <row r="10" spans="1:24" ht="108" customHeight="1">
      <c r="A10" s="4" t="s">
        <v>340</v>
      </c>
      <c r="B10" s="4" t="s">
        <v>142</v>
      </c>
      <c r="C10" s="4" t="s">
        <v>99</v>
      </c>
      <c r="D10" s="5" t="s">
        <v>596</v>
      </c>
      <c r="E10" s="5" t="s">
        <v>597</v>
      </c>
      <c r="F10" s="5" t="s">
        <v>598</v>
      </c>
      <c r="G10" s="5" t="s">
        <v>599</v>
      </c>
      <c r="H10" s="5" t="s">
        <v>600</v>
      </c>
      <c r="I10" s="5" t="s">
        <v>601</v>
      </c>
      <c r="J10" s="5" t="s">
        <v>602</v>
      </c>
      <c r="K10" s="5" t="s">
        <v>603</v>
      </c>
      <c r="L10" s="5" t="s">
        <v>604</v>
      </c>
      <c r="M10" s="5" t="s">
        <v>605</v>
      </c>
      <c r="N10" s="5" t="s">
        <v>606</v>
      </c>
      <c r="O10" s="5" t="s">
        <v>607</v>
      </c>
      <c r="P10" s="5" t="s">
        <v>283</v>
      </c>
      <c r="Q10" s="5" t="s">
        <v>608</v>
      </c>
      <c r="R10" s="5" t="s">
        <v>609</v>
      </c>
      <c r="S10" s="5" t="s">
        <v>610</v>
      </c>
      <c r="T10" s="5" t="s">
        <v>611</v>
      </c>
      <c r="U10" s="5" t="s">
        <v>612</v>
      </c>
      <c r="V10" s="5" t="s">
        <v>61</v>
      </c>
      <c r="W10" s="5" t="s">
        <v>613</v>
      </c>
      <c r="X10" s="5" t="s">
        <v>614</v>
      </c>
    </row>
    <row r="11" spans="1:24" ht="108" customHeight="1">
      <c r="A11" s="4" t="s">
        <v>345</v>
      </c>
      <c r="B11" s="4" t="s">
        <v>150</v>
      </c>
      <c r="C11" s="4" t="s">
        <v>148</v>
      </c>
      <c r="D11" s="5" t="s">
        <v>615</v>
      </c>
      <c r="E11" s="5" t="s">
        <v>616</v>
      </c>
      <c r="F11" s="5" t="s">
        <v>617</v>
      </c>
      <c r="G11" s="5" t="s">
        <v>618</v>
      </c>
      <c r="H11" s="5" t="s">
        <v>619</v>
      </c>
      <c r="I11" s="5" t="s">
        <v>620</v>
      </c>
      <c r="J11" s="5" t="s">
        <v>621</v>
      </c>
      <c r="K11" s="5" t="s">
        <v>622</v>
      </c>
      <c r="L11" s="5" t="s">
        <v>623</v>
      </c>
      <c r="M11" s="5" t="s">
        <v>624</v>
      </c>
      <c r="N11" s="5" t="s">
        <v>625</v>
      </c>
      <c r="O11" s="5" t="s">
        <v>626</v>
      </c>
      <c r="P11" s="5" t="s">
        <v>302</v>
      </c>
      <c r="Q11" s="5" t="s">
        <v>627</v>
      </c>
      <c r="R11" s="5" t="s">
        <v>628</v>
      </c>
      <c r="S11" s="5" t="s">
        <v>629</v>
      </c>
      <c r="T11" s="5" t="s">
        <v>630</v>
      </c>
      <c r="U11" s="5" t="s">
        <v>631</v>
      </c>
      <c r="V11" s="5" t="s">
        <v>52</v>
      </c>
      <c r="W11" s="5" t="s">
        <v>632</v>
      </c>
      <c r="X11" s="5" t="s">
        <v>633</v>
      </c>
    </row>
    <row r="12" spans="1:24" ht="108" customHeight="1">
      <c r="A12" s="4" t="s">
        <v>349</v>
      </c>
      <c r="B12" s="4" t="s">
        <v>158</v>
      </c>
      <c r="C12" s="4" t="s">
        <v>156</v>
      </c>
      <c r="D12" s="5" t="s">
        <v>634</v>
      </c>
      <c r="E12" s="5" t="s">
        <v>635</v>
      </c>
      <c r="F12" s="5" t="s">
        <v>636</v>
      </c>
      <c r="G12" s="5" t="s">
        <v>637</v>
      </c>
      <c r="H12" s="5" t="s">
        <v>638</v>
      </c>
      <c r="I12" s="5" t="s">
        <v>639</v>
      </c>
      <c r="J12" s="5" t="s">
        <v>640</v>
      </c>
      <c r="K12" s="5" t="s">
        <v>641</v>
      </c>
      <c r="L12" s="5" t="s">
        <v>642</v>
      </c>
      <c r="M12" s="5" t="s">
        <v>643</v>
      </c>
      <c r="N12" s="5" t="s">
        <v>644</v>
      </c>
      <c r="O12" s="5" t="s">
        <v>645</v>
      </c>
      <c r="P12" s="5" t="s">
        <v>302</v>
      </c>
      <c r="Q12" s="5" t="s">
        <v>646</v>
      </c>
      <c r="R12" s="5" t="s">
        <v>647</v>
      </c>
      <c r="S12" s="5" t="s">
        <v>648</v>
      </c>
      <c r="T12" s="5" t="s">
        <v>649</v>
      </c>
      <c r="U12" s="5" t="s">
        <v>650</v>
      </c>
      <c r="V12" s="5" t="s">
        <v>52</v>
      </c>
      <c r="W12" s="5" t="s">
        <v>651</v>
      </c>
      <c r="X12" s="5" t="s">
        <v>652</v>
      </c>
    </row>
    <row r="13" spans="1:24" ht="108" customHeight="1">
      <c r="A13" s="4" t="s">
        <v>354</v>
      </c>
      <c r="B13" s="4" t="s">
        <v>167</v>
      </c>
      <c r="C13" s="4" t="s">
        <v>165</v>
      </c>
      <c r="D13" s="5" t="s">
        <v>653</v>
      </c>
      <c r="E13" s="5" t="s">
        <v>654</v>
      </c>
      <c r="F13" s="5" t="s">
        <v>655</v>
      </c>
      <c r="G13" s="5" t="s">
        <v>656</v>
      </c>
      <c r="H13" s="5" t="s">
        <v>657</v>
      </c>
      <c r="I13" s="5" t="s">
        <v>658</v>
      </c>
      <c r="J13" s="5" t="s">
        <v>659</v>
      </c>
      <c r="K13" s="5" t="s">
        <v>660</v>
      </c>
      <c r="L13" s="5" t="s">
        <v>661</v>
      </c>
      <c r="M13" s="5" t="s">
        <v>662</v>
      </c>
      <c r="N13" s="5" t="s">
        <v>663</v>
      </c>
      <c r="O13" s="5" t="s">
        <v>664</v>
      </c>
      <c r="P13" s="5" t="s">
        <v>302</v>
      </c>
      <c r="Q13" s="5" t="s">
        <v>665</v>
      </c>
      <c r="R13" s="5" t="s">
        <v>666</v>
      </c>
      <c r="S13" s="5" t="s">
        <v>667</v>
      </c>
      <c r="T13" s="5" t="s">
        <v>668</v>
      </c>
      <c r="U13" s="5" t="s">
        <v>669</v>
      </c>
      <c r="V13" s="5" t="s">
        <v>52</v>
      </c>
      <c r="W13" s="5" t="s">
        <v>670</v>
      </c>
      <c r="X13" s="5" t="s">
        <v>671</v>
      </c>
    </row>
    <row r="14" spans="1:24" ht="108" customHeight="1">
      <c r="A14" s="4" t="s">
        <v>359</v>
      </c>
      <c r="B14" s="4" t="s">
        <v>174</v>
      </c>
      <c r="C14" s="4" t="s">
        <v>172</v>
      </c>
      <c r="D14" s="5" t="s">
        <v>672</v>
      </c>
      <c r="E14" s="5" t="s">
        <v>673</v>
      </c>
      <c r="F14" s="5" t="s">
        <v>674</v>
      </c>
      <c r="G14" s="5" t="s">
        <v>675</v>
      </c>
      <c r="H14" s="5" t="s">
        <v>676</v>
      </c>
      <c r="I14" s="5" t="s">
        <v>677</v>
      </c>
      <c r="J14" s="5" t="s">
        <v>678</v>
      </c>
      <c r="K14" s="5" t="s">
        <v>679</v>
      </c>
      <c r="L14" s="5" t="s">
        <v>680</v>
      </c>
      <c r="M14" s="5" t="s">
        <v>681</v>
      </c>
      <c r="N14" s="5" t="s">
        <v>682</v>
      </c>
      <c r="O14" s="5" t="s">
        <v>683</v>
      </c>
      <c r="P14" s="5" t="s">
        <v>302</v>
      </c>
      <c r="Q14" s="5" t="s">
        <v>684</v>
      </c>
      <c r="R14" s="5" t="s">
        <v>685</v>
      </c>
      <c r="S14" s="5" t="s">
        <v>686</v>
      </c>
      <c r="T14" s="5" t="s">
        <v>687</v>
      </c>
      <c r="U14" s="5" t="s">
        <v>688</v>
      </c>
      <c r="V14" s="5" t="s">
        <v>52</v>
      </c>
      <c r="W14" s="5" t="s">
        <v>689</v>
      </c>
      <c r="X14" s="5" t="s">
        <v>690</v>
      </c>
    </row>
    <row r="15" spans="1:24" ht="108" customHeight="1">
      <c r="A15" s="4" t="s">
        <v>364</v>
      </c>
      <c r="B15" s="4" t="s">
        <v>181</v>
      </c>
      <c r="C15" s="4" t="s">
        <v>179</v>
      </c>
      <c r="D15" s="5" t="s">
        <v>691</v>
      </c>
      <c r="E15" s="5" t="s">
        <v>692</v>
      </c>
      <c r="F15" s="5" t="s">
        <v>693</v>
      </c>
      <c r="G15" s="5" t="s">
        <v>694</v>
      </c>
      <c r="H15" s="5" t="s">
        <v>695</v>
      </c>
      <c r="I15" s="5" t="s">
        <v>696</v>
      </c>
      <c r="J15" s="5" t="s">
        <v>507</v>
      </c>
      <c r="K15" s="5" t="s">
        <v>697</v>
      </c>
      <c r="L15" s="5" t="s">
        <v>698</v>
      </c>
      <c r="M15" s="5" t="s">
        <v>699</v>
      </c>
      <c r="N15" s="5" t="s">
        <v>700</v>
      </c>
      <c r="O15" s="5" t="s">
        <v>701</v>
      </c>
      <c r="P15" s="5" t="s">
        <v>283</v>
      </c>
      <c r="Q15" s="5" t="s">
        <v>702</v>
      </c>
      <c r="R15" s="5" t="s">
        <v>703</v>
      </c>
      <c r="S15" s="5" t="s">
        <v>704</v>
      </c>
      <c r="T15" s="5" t="s">
        <v>705</v>
      </c>
      <c r="U15" s="5" t="s">
        <v>706</v>
      </c>
      <c r="V15" s="5" t="s">
        <v>61</v>
      </c>
      <c r="W15" s="5" t="s">
        <v>689</v>
      </c>
      <c r="X15" s="5" t="s">
        <v>707</v>
      </c>
    </row>
    <row r="16" spans="1:24" ht="108" customHeight="1">
      <c r="A16" s="4" t="s">
        <v>369</v>
      </c>
      <c r="B16" s="4" t="s">
        <v>188</v>
      </c>
      <c r="C16" s="4" t="s">
        <v>186</v>
      </c>
      <c r="D16" s="5" t="s">
        <v>708</v>
      </c>
      <c r="E16" s="5" t="s">
        <v>709</v>
      </c>
      <c r="F16" s="5" t="s">
        <v>710</v>
      </c>
      <c r="G16" s="5" t="s">
        <v>711</v>
      </c>
      <c r="H16" s="5" t="s">
        <v>712</v>
      </c>
      <c r="I16" s="5" t="s">
        <v>713</v>
      </c>
      <c r="J16" s="5" t="s">
        <v>714</v>
      </c>
      <c r="K16" s="5" t="s">
        <v>715</v>
      </c>
      <c r="L16" s="5" t="s">
        <v>716</v>
      </c>
      <c r="M16" s="5" t="s">
        <v>717</v>
      </c>
      <c r="N16" s="5" t="s">
        <v>718</v>
      </c>
      <c r="O16" s="5" t="s">
        <v>719</v>
      </c>
      <c r="P16" s="5" t="s">
        <v>283</v>
      </c>
      <c r="Q16" s="5" t="s">
        <v>720</v>
      </c>
      <c r="R16" s="5" t="s">
        <v>721</v>
      </c>
      <c r="S16" s="5" t="s">
        <v>722</v>
      </c>
      <c r="T16" s="5" t="s">
        <v>723</v>
      </c>
      <c r="U16" s="5" t="s">
        <v>724</v>
      </c>
      <c r="V16" s="5" t="s">
        <v>61</v>
      </c>
      <c r="W16" s="5" t="s">
        <v>725</v>
      </c>
      <c r="X16" s="5" t="s">
        <v>726</v>
      </c>
    </row>
  </sheetData>
  <conditionalFormatting sqref="P2:P16">
    <cfRule type="containsText" dxfId="31" priority="1" operator="containsText" text="EXPLICIT"/>
    <cfRule type="containsText" dxfId="30" priority="2" operator="containsText" text="INDIRECT"/>
    <cfRule type="containsText" dxfId="29" priority="3" operator="containsText" text="BACKGROUND"/>
  </conditionalFormatting>
  <conditionalFormatting sqref="V2:V16">
    <cfRule type="containsText" dxfId="28" priority="4" operator="containsText" text="INCLUDE"/>
  </conditionalFormatting>
  <dataValidations count="2">
    <dataValidation type="list" sqref="P2:P16" xr:uid="{00000000-0002-0000-0600-000000000000}">
      <formula1>"EXPLICIT,INDIRECT,BACKGROUND,NONE"</formula1>
    </dataValidation>
    <dataValidation type="list" sqref="V2:V16" xr:uid="{00000000-0002-0000-0600-000001000000}">
      <formula1>"INCLUDE - MIGRATION,INCLUDE - LANGUAGE,INCLUDE - MIGRATION + LANGUAGE,BACKGROUND ONLY,EXCLUDE"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6"/>
  <sheetViews>
    <sheetView showGridLines="0" workbookViewId="0"/>
  </sheetViews>
  <sheetFormatPr baseColWidth="10" defaultColWidth="8.83203125" defaultRowHeight="15"/>
  <cols>
    <col min="1" max="1" width="23" style="6" customWidth="1"/>
    <col min="2" max="3" width="29" style="6" customWidth="1"/>
    <col min="4" max="4" width="37" style="6" customWidth="1"/>
    <col min="5" max="5" width="54" style="6" customWidth="1"/>
    <col min="6" max="6" width="52" style="6" customWidth="1"/>
    <col min="7" max="8" width="64" style="6" customWidth="1"/>
    <col min="9" max="9" width="44" style="6" customWidth="1"/>
    <col min="10" max="10" width="49" style="6" customWidth="1"/>
    <col min="11" max="11" width="43" style="6" customWidth="1"/>
    <col min="12" max="12" width="20" style="6" customWidth="1"/>
    <col min="13" max="14" width="60" style="6" customWidth="1"/>
    <col min="15" max="15" width="66" style="6" customWidth="1"/>
    <col min="16" max="16" width="62" style="6" customWidth="1"/>
    <col min="17" max="17" width="16" style="6" customWidth="1"/>
    <col min="18" max="18" width="32" style="6" customWidth="1"/>
    <col min="19" max="16384" width="8.83203125" style="6"/>
  </cols>
  <sheetData>
    <row r="1" spans="1:18" ht="42" customHeight="1">
      <c r="A1" s="3" t="s">
        <v>260</v>
      </c>
      <c r="B1" s="3" t="s">
        <v>727</v>
      </c>
      <c r="C1" s="3" t="s">
        <v>728</v>
      </c>
      <c r="D1" s="3" t="s">
        <v>425</v>
      </c>
      <c r="E1" s="3" t="s">
        <v>729</v>
      </c>
      <c r="F1" s="3" t="s">
        <v>429</v>
      </c>
      <c r="G1" s="3" t="s">
        <v>730</v>
      </c>
      <c r="H1" s="3" t="s">
        <v>731</v>
      </c>
      <c r="I1" s="3" t="s">
        <v>433</v>
      </c>
      <c r="J1" s="3" t="s">
        <v>732</v>
      </c>
      <c r="K1" s="3" t="s">
        <v>434</v>
      </c>
      <c r="L1" s="3" t="s">
        <v>265</v>
      </c>
      <c r="M1" s="3" t="s">
        <v>733</v>
      </c>
      <c r="N1" s="3" t="s">
        <v>734</v>
      </c>
      <c r="O1" s="3" t="s">
        <v>735</v>
      </c>
      <c r="P1" s="3" t="s">
        <v>441</v>
      </c>
      <c r="Q1" s="3" t="s">
        <v>27</v>
      </c>
      <c r="R1" s="3" t="s">
        <v>736</v>
      </c>
    </row>
    <row r="2" spans="1:18" ht="100" customHeight="1">
      <c r="A2" s="4" t="str">
        <f>'Evidence Extraction'!A10</f>
        <v>Lazaridis et al. (2025)</v>
      </c>
      <c r="B2" s="4" t="s">
        <v>737</v>
      </c>
      <c r="C2" s="4" t="s">
        <v>738</v>
      </c>
      <c r="D2" s="5" t="str">
        <f>'Evidence Extraction'!D10</f>
        <v>Caucasus–Lower Volga, Volga, Dnipro, Pontic-Caspian Steppe and southeast Europe</v>
      </c>
      <c r="E2" s="5" t="str">
        <f>'Evidence Extraction'!F10&amp;" | "&amp;'Evidence Extraction'!G10</f>
        <v>~6400–2000 BCE | 435 individuals (367 newly reported plus 68 with improved data); 803 libraries screened</v>
      </c>
      <c r="F2" s="5" t="str">
        <f>'Evidence Extraction'!H10</f>
        <v>Genome-wide ancient DNA; PCA; qpWave/qpAdm competition framework; admixture dating; IBD and haplogroup analyses</v>
      </c>
      <c r="G2" s="5" t="str">
        <f>'Evidence Extraction'!I10</f>
        <v>Caucasus–Lower Volga ancestry moved west and mixed with Dnipro/Don hunter-gatherer ancestry, contributing about four-fifths of Yamnaya ancestry; a Core Yamnaya population formed by ~4000 BCE and expanded rapidly after ~3300 BCE.</v>
      </c>
      <c r="H2" s="5" t="s">
        <v>739</v>
      </c>
      <c r="I2" s="5" t="str">
        <f>'Evidence Extraction'!L10</f>
        <v>Multi-stage formation followed by rapid westward and eastward expansion</v>
      </c>
      <c r="J2" s="5" t="str">
        <f>'Evidence Extraction'!E10</f>
        <v>Caucasus–Lower Volga cline, Volga cline, Dnipro cline, Serednii Stih, Yamnaya, Corded Ware and Anatolian-related groups</v>
      </c>
      <c r="K2" s="5" t="str">
        <f>'Evidence Extraction'!M10</f>
        <v>Precursors ~4500–4000 BCE; Yamnaya expansion after ~3300 BCE</v>
      </c>
      <c r="L2" s="5" t="str">
        <f>'Evidence Extraction'!P10</f>
        <v>EXPLICIT</v>
      </c>
      <c r="M2" s="5" t="str">
        <f>'Evidence Extraction'!Q10</f>
        <v>The authors propose proto-Indo-Anatolian unity among Caucasus–Lower Volga populations before Yamnaya formation and link later dispersals to language branching.</v>
      </c>
      <c r="N2" s="5" t="str">
        <f>'Evidence Extraction'!O10</f>
        <v>The authors propose a lower Dnipro/Don-centred formation process and a rapid Yamnaya expansion, while acknowledging unresolved core geography.</v>
      </c>
      <c r="O2" s="5" t="str">
        <f>'Evidence Extraction'!S10&amp;" | "&amp;'Evidence Extraction'!T10</f>
        <v>More than 80% of the study samples are from Russia; lower Volga precursors and some proposed routes remain sparsely sampled. | An unsampled CHG-related source is required in models; precise Anatolian route/source and Core Yamnaya location cannot be fixed conclusively.</v>
      </c>
      <c r="P2" s="5" t="str">
        <f>'Evidence Extraction'!U10</f>
        <v>Provides the central formation-and-expansion model and the collection's strongest explicit genetics–language synthesis.</v>
      </c>
      <c r="Q2" s="5" t="str">
        <f>'Evidence Extraction'!B10</f>
        <v>KZVYLCU9</v>
      </c>
      <c r="R2" s="5" t="str">
        <f>"Evidence Extraction row 10; "&amp;'Evidence Extraction'!W10</f>
        <v>Evidence Extraction row 10; pp. 1–7</v>
      </c>
    </row>
    <row r="3" spans="1:18" ht="100" customHeight="1">
      <c r="A3" s="4" t="str">
        <f>'Evidence Extraction'!A11</f>
        <v>Nikitin et al. (2025)</v>
      </c>
      <c r="B3" s="4" t="s">
        <v>737</v>
      </c>
      <c r="C3" s="4" t="s">
        <v>738</v>
      </c>
      <c r="D3" s="5" t="str">
        <f>'Evidence Extraction'!D11</f>
        <v>North Pontic region, especially present-day Ukraine</v>
      </c>
      <c r="E3" s="5" t="str">
        <f>'Evidence Extraction'!F11&amp;" | "&amp;'Evidence Extraction'!G11</f>
        <v>Neolithic to Early Bronze Age; key interval ~4500–3300 BCE | 81 prehistoric North Pontic individuals; 51 direct radiocarbon dates; co-analysis with the companion Steppe dataset</v>
      </c>
      <c r="F3" s="5" t="str">
        <f>'Evidence Extraction'!H11</f>
        <v>Genome-wide ancient DNA; PCA; qpAdm/ancestry modelling; radiocarbon and isotope context</v>
      </c>
      <c r="G3" s="5" t="str">
        <f>'Evidence Extraction'!I11</f>
        <v>Three ancestry-bearing movements are resolved: Caucasus–Lower Volga migrants mixing with Trypillians to form Usatove, a parallel mixture with foragers forming Serednii Stih, and Yamna descent from Serednii Stih with expansion from ~3300 BCE.</v>
      </c>
      <c r="H3" s="5" t="s">
        <v>740</v>
      </c>
      <c r="I3" s="5" t="str">
        <f>'Evidence Extraction'!L11</f>
        <v>Successive westward/local mixtures followed by Yamna expansion</v>
      </c>
      <c r="J3" s="5" t="str">
        <f>'Evidence Extraction'!E11</f>
        <v>North Pontic foragers, Trypillian farmers, Usatove, Serednii Stih and Yamna</v>
      </c>
      <c r="K3" s="5" t="str">
        <f>'Evidence Extraction'!M11</f>
        <v>~4500 BCE, ~4000 BCE formation, and ~3300 BCE expansion</v>
      </c>
      <c r="L3" s="5" t="str">
        <f>'Evidence Extraction'!P11</f>
        <v>INDIRECT</v>
      </c>
      <c r="M3" s="5" t="str">
        <f>'Evidence Extraction'!Q11</f>
        <v>Indo-European dispersal is contextual; the paper reconstructs a plausible population mechanism but does not directly identify language.</v>
      </c>
      <c r="N3" s="5" t="str">
        <f>'Evidence Extraction'!O11</f>
        <v>The authors interpret the three waves as a flexible demographic strategy underlying Yamna success and expansion.</v>
      </c>
      <c r="O3" s="5" t="str">
        <f>'Evidence Extraction'!S11&amp;" | "&amp;'Evidence Extraction'!T11</f>
        <v>Concentrated in the North Pontic region and dependent on site availability; the wider Eurasian expansion is inferred using companion data. | Some proximate ancestry sources remain unclear; uneven earlier sampling and model dependence limit fine-scale route certainty.</v>
      </c>
      <c r="P3" s="5" t="str">
        <f>'Evidence Extraction'!U11</f>
        <v>Supplies high-resolution evidence for Yamnaya formation immediately before, and expansion at the start of, the target period.</v>
      </c>
      <c r="Q3" s="5" t="str">
        <f>'Evidence Extraction'!B11</f>
        <v>9DJYHJ7E</v>
      </c>
      <c r="R3" s="5" t="str">
        <f>"Evidence Extraction row 11; "&amp;'Evidence Extraction'!W11</f>
        <v>Evidence Extraction row 11; pp. 1–4 and Discussion</v>
      </c>
    </row>
    <row r="4" spans="1:18" ht="100" customHeight="1">
      <c r="A4" s="4" t="str">
        <f>'Evidence Extraction'!A3</f>
        <v>Chintalapati et al. (2022)</v>
      </c>
      <c r="B4" s="4" t="s">
        <v>741</v>
      </c>
      <c r="C4" s="4" t="s">
        <v>742</v>
      </c>
      <c r="D4" s="5" t="str">
        <f>'Evidence Extraction'!D3</f>
        <v>Europe and western Asia; 16 regional groupings</v>
      </c>
      <c r="E4" s="5" t="str">
        <f>'Evidence Extraction'!F3&amp;" | "&amp;'Evidence Extraction'!G3</f>
        <v>~8000–350 BCE | Approximately 1,100 published ancient individuals</v>
      </c>
      <c r="F4" s="5" t="str">
        <f>'Evidence Extraction'!H3</f>
        <v>DATES ancestry-covariance dating; ancestry source modelling; regional meta-analysis</v>
      </c>
      <c r="G4" s="5" t="str">
        <f>'Evidence Extraction'!I3</f>
        <v>Admixture-date estimates reconstruct the formation and spread of Steppe pastoralist ancestry; estimated Yamnaya/Afanasievo genetic formation precedes their archaeological appearance by more than a millennium.</v>
      </c>
      <c r="H4" s="5" t="s">
        <v>743</v>
      </c>
      <c r="I4" s="5" t="str">
        <f>'Evidence Extraction'!L3</f>
        <v>Multi-stage westward and eastward dispersal of Steppe ancestry</v>
      </c>
      <c r="J4" s="5" t="str">
        <f>'Evidence Extraction'!E3</f>
        <v>Mesolithic, Neolithic, Steppe pastoralist, Yamnaya/Afanasievo-related and later European populations</v>
      </c>
      <c r="K4" s="5" t="str">
        <f>'Evidence Extraction'!M3</f>
        <v>Formation before the Yamnaya horizon; major dispersals around and after ~3000 BCE</v>
      </c>
      <c r="L4" s="5" t="str">
        <f>'Evidence Extraction'!P3</f>
        <v>EXPLICIT</v>
      </c>
      <c r="M4" s="5" t="str">
        <f>'Evidence Extraction'!Q3</f>
        <v>The demographic chronology is presented as relevant to competing models of Indo-European dispersal; DNA does not identify the language spoken.</v>
      </c>
      <c r="N4" s="5" t="str">
        <f>'Evidence Extraction'!O3</f>
        <v>The authors interpret the dated admixture patterns as a reconstruction of major Holocene migrations.</v>
      </c>
      <c r="O4" s="5" t="str">
        <f>'Evidence Extraction'!S3&amp;" | "&amp;'Evidence Extraction'!T3</f>
        <v>Very broad spatial and temporal coverage; regional sampling density is uneven and much evidence lies outside 3300–2600 BCE. | DATES approximates pulse admixture; multiple pulses can yield intermediate dates, closely related sources are difficult to separate and low ancestry proportions are uncertain.</v>
      </c>
      <c r="P4" s="5" t="str">
        <f>'Evidence Extraction'!U3</f>
        <v>Provides a comparative chronology for Steppe-related ancestry formation and its westward/eastward spread.</v>
      </c>
      <c r="Q4" s="5" t="str">
        <f>'Evidence Extraction'!B3</f>
        <v>EIBGSQF3</v>
      </c>
      <c r="R4" s="5" t="str">
        <f>"Evidence Extraction row 3; "&amp;'Evidence Extraction'!W3</f>
        <v>Evidence Extraction row 3; pp. 1–6 and regional-results sections</v>
      </c>
    </row>
    <row r="5" spans="1:18" ht="100" customHeight="1">
      <c r="A5" s="4" t="str">
        <f>'Evidence Extraction'!A13</f>
        <v>Mathieson et al. (2018)</v>
      </c>
      <c r="B5" s="4" t="s">
        <v>744</v>
      </c>
      <c r="C5" s="4" t="s">
        <v>745</v>
      </c>
      <c r="D5" s="5" t="str">
        <f>'Evidence Extraction'!D13</f>
        <v>Balkan Peninsula, Carpathian Basin, North Pontic Steppe and surrounding southeastern Europe</v>
      </c>
      <c r="E5" s="5" t="str">
        <f>'Evidence Extraction'!F13&amp;" | "&amp;'Evidence Extraction'!G13</f>
        <v>~12,000–500 BCE; relevant Steppe contacts extend into the fourth and third millennia BCE | 225 ancient individuals (215 newly reported); 216 retained for population analysis after exclusions</v>
      </c>
      <c r="F5" s="5" t="str">
        <f>'Evidence Extraction'!H13</f>
        <v>1.24-million-SNP capture; PCA; supervised/unsupervised ADMIXTURE; D-statistics; qpAdm; qpGraph; 137 new radiocarbon dates</v>
      </c>
      <c r="G5" s="5" t="str">
        <f>'Evidence Extraction'!I13</f>
        <v>Intermittent genetic contact between southeastern Europe and Steppe populations occurred up to ~2,000 years before the large Steppe migrations; the dataset also documents early stages of Steppe ancestry formation and later ancestry replacement.</v>
      </c>
      <c r="H5" s="5" t="s">
        <v>746</v>
      </c>
      <c r="I5" s="5" t="str">
        <f>'Evidence Extraction'!L13</f>
        <v>Repeated east–west contact preceding larger third-millennium migration</v>
      </c>
      <c r="J5" s="5" t="str">
        <f>'Evidence Extraction'!E13</f>
        <v>Hunter-gatherers, Neolithic farmers, Eneolithic groups and Yamnaya-related Steppe populations</v>
      </c>
      <c r="K5" s="5" t="str">
        <f>'Evidence Extraction'!M13</f>
        <v>Early contacts before 4000 BCE; major later movements around and after 3000 BCE</v>
      </c>
      <c r="L5" s="5" t="str">
        <f>'Evidence Extraction'!P13</f>
        <v>INDIRECT</v>
      </c>
      <c r="M5" s="5" t="str">
        <f>'Evidence Extraction'!Q13</f>
        <v>The study supplies demographic context relevant to language-spread models but does not make language an empirical outcome.</v>
      </c>
      <c r="N5" s="5" t="str">
        <f>'Evidence Extraction'!O13</f>
        <v>The authors interpret southeastern Europe as a long-term east–west nexus rather than a corridor activated only by the Yamnaya expansion.</v>
      </c>
      <c r="O5" s="5" t="str">
        <f>'Evidence Extraction'!S13&amp;" | "&amp;'Evidence Extraction'!T13</f>
        <v>Chronology is extremely broad and much evidence predates or postdates 3300–2600 BCE; relevant subsets must be isolated. | Uneven preservation and coverage, thresholds for analysed individuals and proxy-based ancestry models constrain fine-scale conclusions.</v>
      </c>
      <c r="P5" s="5" t="str">
        <f>'Evidence Extraction'!U13</f>
        <v>Shows that Yamnaya-era movement emerged from a longer history of Steppe–southeastern European contact.</v>
      </c>
      <c r="Q5" s="5" t="str">
        <f>'Evidence Extraction'!B13</f>
        <v>TTSVUEKS</v>
      </c>
      <c r="R5" s="5" t="str">
        <f>"Evidence Extraction row 13; "&amp;'Evidence Extraction'!W13</f>
        <v>Evidence Extraction row 13; pp. 1–4 and Steppe-contact sections</v>
      </c>
    </row>
    <row r="6" spans="1:18" ht="100" customHeight="1">
      <c r="A6" s="4" t="str">
        <f>'Evidence Extraction'!A16</f>
        <v>Haak et al. (2015)</v>
      </c>
      <c r="B6" s="4" t="s">
        <v>747</v>
      </c>
      <c r="C6" s="4" t="s">
        <v>738</v>
      </c>
      <c r="D6" s="5" t="str">
        <f>'Evidence Extraction'!D16</f>
        <v>Central and northern Europe with Yamnaya samples from Samara</v>
      </c>
      <c r="E6" s="5" t="str">
        <f>'Evidence Extraction'!F16&amp;" | "&amp;'Evidence Extraction'!G16</f>
        <v>Mainly ~6000–1000 BCE; key Yamnaya/Corded Ware comparison ~3300–2500 BCE | 69 newly analysed ancient Europeans (94 libraries); combined analysis includes 25 previously published ancient individuals</v>
      </c>
      <c r="F6" s="5" t="str">
        <f>'Evidence Extraction'!H16</f>
        <v>390,000-SNP capture; PCA; ADMIXTURE; f3/f4 statistics; ancestry modelling; mtDNA and Y haplogroups</v>
      </c>
      <c r="G6" s="5" t="str">
        <f>'Evidence Extraction'!I16</f>
        <v>German Corded Ware individuals derive roughly three-quarters of their ancestry from a Yamnaya-related source, indicating a rapid and large population influx from the eastern Steppe around the early third millennium BCE.</v>
      </c>
      <c r="H6" s="5" t="s">
        <v>748</v>
      </c>
      <c r="I6" s="5" t="str">
        <f>'Evidence Extraction'!L16</f>
        <v>Rapid westward migration and admixture with local Neolithic populations</v>
      </c>
      <c r="J6" s="5" t="str">
        <f>'Evidence Extraction'!E16</f>
        <v>Yamnaya, Corded Ware, Late Neolithic/Early Bronze Age Europeans and earlier farmers/hunter-gatherers</v>
      </c>
      <c r="K6" s="5" t="str">
        <f>'Evidence Extraction'!M16</f>
        <v>Approximately 3000–2500 BCE</v>
      </c>
      <c r="L6" s="5" t="str">
        <f>'Evidence Extraction'!P16</f>
        <v>EXPLICIT</v>
      </c>
      <c r="M6" s="5" t="str">
        <f>'Evidence Extraction'!Q16</f>
        <v>The demographic migration is presented as supporting a Steppe-origin model for at least some Indo-European languages; the paper explicitly notes that ancient DNA is silent on language itself.</v>
      </c>
      <c r="N6" s="5" t="str">
        <f>'Evidence Extraction'!O16</f>
        <v>The authors interpret the ancestry shift as evidence for a major migration from the Steppe into central Europe.</v>
      </c>
      <c r="O6" s="5" t="str">
        <f>'Evidence Extraction'!S16&amp;" | "&amp;'Evidence Extraction'!T16</f>
        <v>Samara Yamnaya may not be the direct source population; southern-European and Asian language histories are not resolved. | Small group sizes, uneven coverage and proxy-source choice limit exact route and ancestry estimates.</v>
      </c>
      <c r="P6" s="5" t="str">
        <f>'Evidence Extraction'!U16</f>
        <v>Foundational evidence for large-scale westward Steppe migration and a carefully qualified demographic–linguistic interpretation.</v>
      </c>
      <c r="Q6" s="5" t="str">
        <f>'Evidence Extraction'!B16</f>
        <v>6ZNHJTYH</v>
      </c>
      <c r="R6" s="5" t="str">
        <f>"Evidence Extraction row 16; "&amp;'Evidence Extraction'!W16</f>
        <v>Evidence Extraction row 16; pp. 1–4</v>
      </c>
    </row>
    <row r="7" spans="1:18" ht="100" customHeight="1">
      <c r="A7" s="4" t="str">
        <f>'Evidence Extraction'!A15</f>
        <v>Allentoft et al. (2015)</v>
      </c>
      <c r="B7" s="4" t="s">
        <v>749</v>
      </c>
      <c r="C7" s="4" t="s">
        <v>738</v>
      </c>
      <c r="D7" s="5" t="str">
        <f>'Evidence Extraction'!D15</f>
        <v>Europe and central Asia</v>
      </c>
      <c r="E7" s="5" t="str">
        <f>'Evidence Extraction'!F15&amp;" | "&amp;'Evidence Extraction'!G15</f>
        <v>Broadly ~3000–1000 BCE, with relevant early Bronze Age samples | 101 low-coverage ancient Eurasian genomes; 19 exceed 1× average coverage</v>
      </c>
      <c r="F7" s="5" t="str">
        <f>'Evidence Extraction'!H15</f>
        <v>Low-coverage whole-genome sequencing; PCA; ADMIXTURE; f-statistics; genomic-distance and haplogroup analysis</v>
      </c>
      <c r="G7" s="5" t="str">
        <f>'Evidence Extraction'!I15</f>
        <v>Corded Ware groups show substantial Yamnaya-related ancestry, while Afanasievo individuals in the Altai are genetically close to Yamnaya, documenting both westward and eastward Steppe-associated dispersals.</v>
      </c>
      <c r="H7" s="5" t="s">
        <v>750</v>
      </c>
      <c r="I7" s="5" t="str">
        <f>'Evidence Extraction'!L15</f>
        <v>Large-scale bidirectional expansion followed by mixture and regional replacement</v>
      </c>
      <c r="J7" s="5" t="str">
        <f>'Evidence Extraction'!E15</f>
        <v>Yamnaya, Corded Ware, Afanasievo and other Bronze Age Eurasian groups</v>
      </c>
      <c r="K7" s="5" t="str">
        <f>'Evidence Extraction'!M15</f>
        <v>Early third millennium BCE and later Bronze Age consequences</v>
      </c>
      <c r="L7" s="5" t="str">
        <f>'Evidence Extraction'!P15</f>
        <v>EXPLICIT</v>
      </c>
      <c r="M7" s="5" t="str">
        <f>'Evidence Extraction'!Q15</f>
        <v>The demographic findings are described as consistent with a hypothesized Early Bronze Age spread of Indo-European languages, not as proof of speech.</v>
      </c>
      <c r="N7" s="5" t="str">
        <f>'Evidence Extraction'!O15</f>
        <v>The authors interpret the genomic transformations as large-scale migrations that reshaped Bronze Age Eurasia.</v>
      </c>
      <c r="O7" s="5" t="str">
        <f>'Evidence Extraction'!S15&amp;" | "&amp;'Evidence Extraction'!T15</f>
        <v>Eurasia-wide scope and broad chronology reduce fine regional resolution; several archaeological groups have few individuals. | Low and uneven genome coverage; source populations are proxies and cultural labels may encompass heterogeneous populations.</v>
      </c>
      <c r="P7" s="5" t="str">
        <f>'Evidence Extraction'!U15</f>
        <v>Foundational evidence for both westward Corded Ware-related and eastward Afanasievo-related dispersals.</v>
      </c>
      <c r="Q7" s="5" t="str">
        <f>'Evidence Extraction'!B15</f>
        <v>B2PLN5IB</v>
      </c>
      <c r="R7" s="5" t="str">
        <f>"Evidence Extraction row 15; "&amp;'Evidence Extraction'!W15</f>
        <v>Evidence Extraction row 15; pp. 1–5</v>
      </c>
    </row>
    <row r="8" spans="1:18" ht="100" customHeight="1">
      <c r="A8" s="4" t="str">
        <f>'Evidence Extraction'!A8</f>
        <v>Ringbauer et al. (2024)</v>
      </c>
      <c r="B8" s="4" t="s">
        <v>747</v>
      </c>
      <c r="C8" s="4" t="s">
        <v>738</v>
      </c>
      <c r="D8" s="5" t="str">
        <f>'Evidence Extraction'!D8</f>
        <v>Eurasia, with a focused Corded Ware–Yamnaya analysis</v>
      </c>
      <c r="E8" s="5" t="str">
        <f>'Evidence Extraction'!F8&amp;" | "&amp;'Evidence Extraction'!G8</f>
        <v>Broad ancient dataset; relevant Corded Ware interval ~3000–2400 BCE | 4,248 ancient Eurasian individuals</v>
      </c>
      <c r="F8" s="5" t="str">
        <f>'Evidence Extraction'!H8</f>
        <v>ancIBD hidden Markov model; GLIMPSE imputation/phasing; identity-by-descent segment analysis</v>
      </c>
      <c r="G8" s="5" t="str">
        <f>'Evidence Extraction'!I8</f>
        <v>Corded Ware groups share long IBD segments, including segments up to 20 cM, with multiple Yamnaya groups; most Corded Ware ancestry has genealogical links to Yamnaya within at most a few hundred years, alongside a substantial GAC-related component.</v>
      </c>
      <c r="H8" s="5" t="s">
        <v>751</v>
      </c>
      <c r="I8" s="5" t="str">
        <f>'Evidence Extraction'!L8</f>
        <v>Rapid, connected westward/northward dispersal followed by admixture</v>
      </c>
      <c r="J8" s="5" t="str">
        <f>'Evidence Extraction'!E8</f>
        <v>Yamnaya, Corded Ware, Globular Amphora and other Eneolithic/Bronze Age groups</v>
      </c>
      <c r="K8" s="5" t="str">
        <f>'Evidence Extraction'!M8</f>
        <v>Gene flow beginning around 3000 BCE; relationships span only a few hundred years</v>
      </c>
      <c r="L8" s="5" t="str">
        <f>'Evidence Extraction'!P8</f>
        <v>INDIRECT</v>
      </c>
      <c r="M8" s="5" t="str">
        <f>'Evidence Extraction'!Q8</f>
        <v>The study provides a demographic mechanism relevant to language spread but makes no independent claim about which language sampled people spoke.</v>
      </c>
      <c r="N8" s="5" t="str">
        <f>'Evidence Extraction'!O8</f>
        <v>The authors interpret long IBD sharing as inconsistent with a remote unsampled Steppe-like source separated from Yamnaya by about a millennium.</v>
      </c>
      <c r="O8" s="5" t="str">
        <f>'Evidence Extraction'!S8&amp;" | "&amp;'Evidence Extraction'!T8</f>
        <v>Results depend on which ancient individuals pass coverage thresholds and on uneven archaeological sampling. | Reliable detection is mainly for segments &gt;8 cM and adequate coverage; SNP density, low coverage, imputation and false positives limit shorter-segment inference.</v>
      </c>
      <c r="P8" s="5" t="str">
        <f>'Evidence Extraction'!U8</f>
        <v>Strengthens the immediate genealogical connection between Yamnaya and diverse Corded Ware populations.</v>
      </c>
      <c r="Q8" s="5" t="str">
        <f>'Evidence Extraction'!B8</f>
        <v>MVP4P8Z2</v>
      </c>
      <c r="R8" s="5" t="str">
        <f>"Evidence Extraction row 8; "&amp;'Evidence Extraction'!W8</f>
        <v>Evidence Extraction row 8; pp. 1, 5, 7–8</v>
      </c>
    </row>
    <row r="9" spans="1:18" ht="100" customHeight="1">
      <c r="A9" s="4" t="str">
        <f>'Evidence Extraction'!A12</f>
        <v>Papac et al. (2021)</v>
      </c>
      <c r="B9" s="4" t="s">
        <v>752</v>
      </c>
      <c r="C9" s="4" t="s">
        <v>753</v>
      </c>
      <c r="D9" s="5" t="str">
        <f>'Evidence Extraction'!D12</f>
        <v>Bohemia, central Europe</v>
      </c>
      <c r="E9" s="5" t="str">
        <f>'Evidence Extraction'!F12&amp;" | "&amp;'Evidence Extraction'!G12</f>
        <v>~4900–1600 BCE; key evidence ~2900–2400 BCE | 271 ancient human genomes</v>
      </c>
      <c r="F9" s="5" t="str">
        <f>'Evidence Extraction'!H12</f>
        <v>Genome-wide ancient DNA; PCA; f-statistics/qpAdm; haplogroups; kinship and temporal population modelling</v>
      </c>
      <c r="G9" s="5" t="str">
        <f>'Evidence Extraction'!I12</f>
        <v>Corded Ware appears by ~2900 BCE with high but heterogeneous Steppe ancestry not wholly derived from sampled Yamnaya; diverse females were assimilated, followed by sharp Y-chromosome changes around 2600 and 2400 BCE and later ≥40% turnover.</v>
      </c>
      <c r="H9" s="5" t="s">
        <v>754</v>
      </c>
      <c r="I9" s="5" t="str">
        <f>'Evidence Extraction'!L12</f>
        <v>Westward arrival followed by local assimilation and repeated social/genetic reorganization</v>
      </c>
      <c r="J9" s="5" t="str">
        <f>'Evidence Extraction'!E12</f>
        <v>Pre-Corded Ware groups, Corded Ware, Bell Beaker and Únětice populations</v>
      </c>
      <c r="K9" s="5" t="str">
        <f>'Evidence Extraction'!M12</f>
        <v>~2900 BCE arrival; transformations around 2600 and 2400 BCE; later Bronze Age turnover</v>
      </c>
      <c r="L9" s="5" t="str">
        <f>'Evidence Extraction'!P12</f>
        <v>INDIRECT</v>
      </c>
      <c r="M9" s="5" t="str">
        <f>'Evidence Extraction'!Q12</f>
        <v>The population movements could carry language, but the study does not independently determine linguistic identity.</v>
      </c>
      <c r="N9" s="5" t="str">
        <f>'Evidence Extraction'!O12</f>
        <v>The authors interpret the Bohemian transect as evidence for multiple migrations and changing social structures, not a single homogeneous replacement.</v>
      </c>
      <c r="O9" s="5" t="str">
        <f>'Evidence Extraction'!S12&amp;" | "&amp;'Evidence Extraction'!T12</f>
        <v>One central-European region; later 2400 BCE and Bronze Age evidence lies outside the primary 3300–2600 BCE interval. | Archaeological culture labels may not represent unified social entities; source populations remain partly unsampled and ancestry models are proxy-dependent.</v>
      </c>
      <c r="P9" s="5" t="str">
        <f>'Evidence Extraction'!U12</f>
        <v>Provides a regional time transect that qualifies simple mass-replacement and single-source accounts.</v>
      </c>
      <c r="Q9" s="5" t="str">
        <f>'Evidence Extraction'!B12</f>
        <v>U92TYDRN</v>
      </c>
      <c r="R9" s="5" t="str">
        <f>"Evidence Extraction row 12; "&amp;'Evidence Extraction'!W12</f>
        <v>Evidence Extraction row 12; pp. 1–6</v>
      </c>
    </row>
    <row r="10" spans="1:18" ht="100" customHeight="1">
      <c r="A10" s="4" t="str">
        <f>'Evidence Extraction'!A6</f>
        <v>Linderholm et al. (2020)</v>
      </c>
      <c r="B10" s="4" t="s">
        <v>755</v>
      </c>
      <c r="C10" s="4" t="s">
        <v>753</v>
      </c>
      <c r="D10" s="5" t="str">
        <f>'Evidence Extraction'!D6</f>
        <v>Southeastern Poland: Rzeszów Foothills, Małopolska Upland and Sokal Ridge</v>
      </c>
      <c r="E10" s="5" t="str">
        <f>'Evidence Extraction'!F6&amp;" | "&amp;'Evidence Extraction'!G6</f>
        <v>Late third millennium BCE; individual radiocarbon dates reported | 19 genomes obtained from 53 sampled individuals (16 Corded Ware, 3 Bell Beaker); strontium for 16 individuals</v>
      </c>
      <c r="F10" s="5" t="str">
        <f>'Evidence Extraction'!H6</f>
        <v>Whole-genome sequencing; PCA and ancestry analysis; mtDNA/Y haplogroups; kinship; strontium isotopes; radiocarbon dating</v>
      </c>
      <c r="G10" s="5" t="str">
        <f>'Evidence Extraction'!I6</f>
        <v>Corded Ware individuals combine predominantly Steppe-associated paternal ancestry with maternal lineages linked to earlier Neolithic populations; three kin relationships include a local/non-local pair.</v>
      </c>
      <c r="H10" s="5" t="s">
        <v>756</v>
      </c>
      <c r="I10" s="5" t="str">
        <f>'Evidence Extraction'!L6</f>
        <v>Westward ancestry movement followed by local admixture and community-level mobility</v>
      </c>
      <c r="J10" s="5" t="str">
        <f>'Evidence Extraction'!E6</f>
        <v>Corded Ware and Bell Beaker individuals; Neolithic local and Steppe-related ancestry components</v>
      </c>
      <c r="K10" s="5" t="str">
        <f>'Evidence Extraction'!M6</f>
        <v>Corded Ware dominance after ~2800 BCE; sampled burials lie in the later third millennium BCE</v>
      </c>
      <c r="L10" s="5" t="str">
        <f>'Evidence Extraction'!P6</f>
        <v>INDIRECT</v>
      </c>
      <c r="M10" s="5" t="str">
        <f>'Evidence Extraction'!Q6</f>
        <v>Linguistic change is mentioned as part of the broader third-millennium transition; no independent language analysis is performed.</v>
      </c>
      <c r="N10" s="5" t="str">
        <f>'Evidence Extraction'!O6</f>
        <v>The authors interpret the combined evidence as a complex, regionally specific Corded Ware community rather than a homogeneous migrant population.</v>
      </c>
      <c r="O10" s="5" t="str">
        <f>'Evidence Extraction'!S6&amp;" | "&amp;'Evidence Extraction'!T6</f>
        <v>A single regional transect in southeastern Poland cannot represent all Corded Ware populations. | Small sample size and uneven genome coverage (~0.02× to 5.47×); isotope baselines and cultural labels constrain mobility interpretation.</v>
      </c>
      <c r="P10" s="5" t="str">
        <f>'Evidence Extraction'!U6</f>
        <v>Adds fine-scale evidence for sex-biased ancestry, local admixture and mobility within a Corded Ware community.</v>
      </c>
      <c r="Q10" s="5" t="str">
        <f>'Evidence Extraction'!B6</f>
        <v>Z6RYK2BV</v>
      </c>
      <c r="R10" s="5" t="str">
        <f>"Evidence Extraction row 6; "&amp;'Evidence Extraction'!W6</f>
        <v>Evidence Extraction row 6; pp. 1–4 and Results/Discussion</v>
      </c>
    </row>
    <row r="11" spans="1:18" ht="100" customHeight="1">
      <c r="A11" s="4" t="str">
        <f>'Evidence Extraction'!A5</f>
        <v>Scorrano et al. (2021)</v>
      </c>
      <c r="B11" s="4" t="s">
        <v>757</v>
      </c>
      <c r="C11" s="4" t="s">
        <v>753</v>
      </c>
      <c r="D11" s="5" t="str">
        <f>'Evidence Extraction'!D5</f>
        <v>Central, eastern, western and southern Europe</v>
      </c>
      <c r="E11" s="5" t="str">
        <f>'Evidence Extraction'!F5&amp;" | "&amp;'Evidence Extraction'!G5</f>
        <v>Late Neolithic to Bronze Age, focused on the third millennium BCE | Published genome-wide and uniparental datasets; mtDNA phylogeny includes 695 samples; analysis-specific sample sizes vary</v>
      </c>
      <c r="F11" s="5" t="str">
        <f>'Evidence Extraction'!H5</f>
        <v>PCA; qpAdm; outgroup f3; mtDNA and Y-chromosome analysis; autosome-versus-X ancestry comparison</v>
      </c>
      <c r="G11" s="5" t="str">
        <f>'Evidence Extraction'!I5</f>
        <v>Steppe-related ancestry is highest in several Corded Ware groups and is more strongly male-biased there than in Bell Beaker groups; no comparable significant Steppe input is detected in the pooled mitochondrial gene pool.</v>
      </c>
      <c r="H11" s="5" t="s">
        <v>758</v>
      </c>
      <c r="I11" s="5" t="str">
        <f>'Evidence Extraction'!L5</f>
        <v>Westward, sex-biased ancestry dispersal followed by regionally variable admixture</v>
      </c>
      <c r="J11" s="5" t="str">
        <f>'Evidence Extraction'!E5</f>
        <v>Yamnaya proxies; Corded Ware; Bell Beaker; Neolithic and Bronze Age Europeans</v>
      </c>
      <c r="K11" s="5" t="str">
        <f>'Evidence Extraction'!M5</f>
        <v>Mainly early to middle third millennium BCE</v>
      </c>
      <c r="L11" s="5" t="str">
        <f>'Evidence Extraction'!P5</f>
        <v>INDIRECT</v>
      </c>
      <c r="M11" s="5" t="str">
        <f>'Evidence Extraction'!Q5</f>
        <v>The discussion treats Steppe ancestry as compatible with the spread of some Indo-European languages but also notes counterexamples; language is not measured.</v>
      </c>
      <c r="N11" s="5" t="str">
        <f>'Evidence Extraction'!O5</f>
        <v>The authors interpret the autosomal, X-chromosomal and uniparental differences as predominantly male-driven migration, especially into Corded Ware groups.</v>
      </c>
      <c r="O11" s="5" t="str">
        <f>'Evidence Extraction'!S5&amp;" | "&amp;'Evidence Extraction'!T5</f>
        <v>Coverage is strongest for central/eastern Europe and varies sharply by regional archaeological group. | Published-data reanalysis; low X-chromosome SNP counts and large standard deviations require caution; Yamnaya Y lineages are an imperfect male-source proxy.</v>
      </c>
      <c r="P11" s="5" t="str">
        <f>'Evidence Extraction'!U5</f>
        <v>Provides a focused test of sex-biased migration and cautions against assuming the same demographic process across all of Europe.</v>
      </c>
      <c r="Q11" s="5" t="str">
        <f>'Evidence Extraction'!B5</f>
        <v>24A5ALRY</v>
      </c>
      <c r="R11" s="5" t="str">
        <f>"Evidence Extraction row 5; "&amp;'Evidence Extraction'!W5</f>
        <v>Evidence Extraction row 5; pp. 1–3, 7–9</v>
      </c>
    </row>
    <row r="12" spans="1:18" ht="100" customHeight="1">
      <c r="A12" s="4" t="str">
        <f>'Evidence Extraction'!A14</f>
        <v>Olalde et al. (2018)</v>
      </c>
      <c r="B12" s="4" t="s">
        <v>759</v>
      </c>
      <c r="C12" s="4" t="s">
        <v>760</v>
      </c>
      <c r="D12" s="5" t="str">
        <f>'Evidence Extraction'!D14</f>
        <v>Western and central Europe, especially Iberia, central Europe and Britain</v>
      </c>
      <c r="E12" s="5" t="str">
        <f>'Evidence Extraction'!F14&amp;" | "&amp;'Evidence Extraction'!G14</f>
        <v>~4700–800 BCE; key Beaker interval ~2750–2200 BCE | 400 ancient Europeans from 136 sites, including 226 Beaker-associated individuals; combined analysis dataset 683 ancient samples</v>
      </c>
      <c r="F12" s="5" t="str">
        <f>'Evidence Extraction'!H14</f>
        <v>1.23-million-SNP capture; PCA; f-statistics/qpAdm; Y-chromosome analysis; 111 direct radiocarbon dates</v>
      </c>
      <c r="G12" s="5" t="str">
        <f>'Evidence Extraction'!I14</f>
        <v>Iberian and central-European Beaker groups show limited genetic affinity, but Beaker-associated migration carried high Steppe-related ancestry into Britain and replaced about 90% of its gene pool within a few hundred years.</v>
      </c>
      <c r="H12" s="5" t="s">
        <v>761</v>
      </c>
      <c r="I12" s="5" t="str">
        <f>'Evidence Extraction'!L14</f>
        <v>Continued east-to-west dispersal with regionally different balances of cultural diffusion and migration</v>
      </c>
      <c r="J12" s="5" t="str">
        <f>'Evidence Extraction'!E14</f>
        <v>Bell Beaker-associated individuals, Corded Ware-related Steppe ancestry and local Neolithic populations</v>
      </c>
      <c r="K12" s="5" t="str">
        <f>'Evidence Extraction'!M14</f>
        <v>From ~2750/2500 BCE, mainly after the primary Yamnaya interval</v>
      </c>
      <c r="L12" s="5" t="str">
        <f>'Evidence Extraction'!P14</f>
        <v>INDIRECT</v>
      </c>
      <c r="M12" s="5" t="str">
        <f>'Evidence Extraction'!Q14</f>
        <v>The study demonstrates a later demographic mechanism that could transmit language but makes no independent language identification.</v>
      </c>
      <c r="N12" s="5" t="str">
        <f>'Evidence Extraction'!O14</f>
        <v>The authors interpret the Beaker phenomenon as heterogeneous: cultural transmission between some regions and mass migration into others.</v>
      </c>
      <c r="O12" s="5" t="str">
        <f>'Evidence Extraction'!S14&amp;" | "&amp;'Evidence Extraction'!T14</f>
        <v>Most decisive British evidence postdates 2600 BCE and represents consequences of earlier Steppe dispersal, not core Yamnaya movement. | Regional sample imbalance and proxy ancestry sources limit exact origins; shared artefacts cannot be equated with shared population identity.</v>
      </c>
      <c r="P12" s="5" t="str">
        <f>'Evidence Extraction'!U14</f>
        <v>Provides a strong later consequence and a clear demonstration that material-culture spread can be demic in one region and cultural in another.</v>
      </c>
      <c r="Q12" s="5" t="str">
        <f>'Evidence Extraction'!B14</f>
        <v>2PL38PG4</v>
      </c>
      <c r="R12" s="5" t="str">
        <f>"Evidence Extraction row 14; "&amp;'Evidence Extraction'!W14</f>
        <v>Evidence Extraction row 14; pp. 1–5</v>
      </c>
    </row>
    <row r="13" spans="1:18" ht="100" customHeight="1">
      <c r="A13" s="4" t="str">
        <f>'Evidence Extraction'!A7</f>
        <v>Tassi et al. (2017)</v>
      </c>
      <c r="B13" s="4" t="s">
        <v>762</v>
      </c>
      <c r="C13" s="4" t="s">
        <v>763</v>
      </c>
      <c r="D13" s="5" t="str">
        <f>'Evidence Extraction'!D7</f>
        <v>Kierzkowo, northwestern Poland; central European comparison</v>
      </c>
      <c r="E13" s="5" t="str">
        <f>'Evidence Extraction'!F7&amp;" | "&amp;'Evidence Extraction'!G7</f>
        <v>GAC context before the main Steppe expansion, approximately 3400/3100–2800 BCE | Six individuals with nuclear data at 597,573 SNPs and 11 complete Neolithic mitochondrial sequences</v>
      </c>
      <c r="F13" s="5" t="str">
        <f>'Evidence Extraction'!H7</f>
        <v>Genome-wide comparison; PCA and allele-sharing statistics; mitochondrial analysis; approximate Bayesian computation of alternative demographic models</v>
      </c>
      <c r="G13" s="5" t="str">
        <f>'Evidence Extraction'!I7</f>
        <v>Sampled GAC individuals are closer to earlier Neolithic groups than to populations related to Pontic-Steppe migration and lack the expected Yamnaya-derived profile.</v>
      </c>
      <c r="H13" s="5" t="s">
        <v>764</v>
      </c>
      <c r="I13" s="5" t="str">
        <f>'Evidence Extraction'!L7</f>
        <v>Local genetic continuity with eastern cultural influence, before later Steppe gene flow</v>
      </c>
      <c r="J13" s="5" t="str">
        <f>'Evidence Extraction'!E7</f>
        <v>Globular Amphorae culture, earlier Neolithic farmers, Yamnaya/Steppe-related groups and Corded Ware</v>
      </c>
      <c r="K13" s="5" t="str">
        <f>'Evidence Extraction'!M7</f>
        <v>Immediately before and overlapping the start of the target period</v>
      </c>
      <c r="L13" s="5" t="str">
        <f>'Evidence Extraction'!P7</f>
        <v>EXPLICIT</v>
      </c>
      <c r="M13" s="5" t="str">
        <f>'Evidence Extraction'!Q7</f>
        <v>The study tests demographic expectations of Steppe/Kurgan and Anatolian language-dispersal models and stresses that language change need not track migration exactly.</v>
      </c>
      <c r="N13" s="5" t="str">
        <f>'Evidence Extraction'!O7</f>
        <v>The authors interpret GAC eastern archaeological affinities as cultural influence rather than movement of Steppe people.</v>
      </c>
      <c r="O13" s="5" t="str">
        <f>'Evidence Extraction'!S7&amp;" | "&amp;'Evidence Extraction'!T7</f>
        <v>One burial context in northwestern Poland and a small number of individuals limit geographic generalization. | Small sample; preservation and sample-selection losses; demographic conclusions depend on the compared models and reference populations.</v>
      </c>
      <c r="P13" s="5" t="str">
        <f>'Evidence Extraction'!U7</f>
        <v>Provides a negative/qualifying case showing that archaeological eastern affinity need not imply Steppe migration or linguistic identity.</v>
      </c>
      <c r="Q13" s="5" t="str">
        <f>'Evidence Extraction'!B7</f>
        <v>Q2Y9FLYQ</v>
      </c>
      <c r="R13" s="5" t="str">
        <f>"Evidence Extraction row 7; "&amp;'Evidence Extraction'!W7</f>
        <v>Evidence Extraction row 7; pp. 1–4, 6–8</v>
      </c>
    </row>
    <row r="14" spans="1:18" ht="100" customHeight="1">
      <c r="A14" s="4" t="str">
        <f>'Evidence Extraction'!A4</f>
        <v>Wang et al. (2021)</v>
      </c>
      <c r="B14" s="4" t="s">
        <v>765</v>
      </c>
      <c r="C14" s="4" t="s">
        <v>738</v>
      </c>
      <c r="D14" s="5" t="str">
        <f>'Evidence Extraction'!D4</f>
        <v>Mongolia, northern China, Amur region and western China</v>
      </c>
      <c r="E14" s="5" t="str">
        <f>'Evidence Extraction'!F4&amp;" | "&amp;'Evidence Extraction'!G4</f>
        <v>~6000 BCE–AD 1000 | 166 ancient individuals and 383 present-day individuals from 46 groups</v>
      </c>
      <c r="F14" s="5" t="str">
        <f>'Evidence Extraction'!H4</f>
        <v>Genome-wide capture / sequencing; PCA; qpWave; qpAdm; qpGraph; ancestry modelling</v>
      </c>
      <c r="G14" s="5" t="str">
        <f>'Evidence Extraction'!I4</f>
        <v>Afanasievo is genetically very close to Yamnaya; Yamnaya/Afanasievo-related ancestry reached western Mongolia after ~3000 BCE, later declined there and persisted farther west in Xinjiang.</v>
      </c>
      <c r="H14" s="5" t="s">
        <v>766</v>
      </c>
      <c r="I14" s="5" t="str">
        <f>'Evidence Extraction'!L4</f>
        <v>Eastward Steppe dispersal with later regional admixture and partial ancestry loss</v>
      </c>
      <c r="J14" s="5" t="str">
        <f>'Evidence Extraction'!E4</f>
        <v>Yamnaya/Afanasievo-related groups, Chemurchek, Shirenzigou and other ancient East Asian populations</v>
      </c>
      <c r="K14" s="5" t="str">
        <f>'Evidence Extraction'!M4</f>
        <v>After ~3000 BCE, with later Bronze and Iron Age continuities</v>
      </c>
      <c r="L14" s="5" t="str">
        <f>'Evidence Extraction'!P4</f>
        <v>EXPLICIT</v>
      </c>
      <c r="M14" s="5" t="str">
        <f>'Evidence Extraction'!Q4</f>
        <v>The authors argue that the demographic evidence adds weight to a migration-mediated spread of proto-Tocharian; this remains an interdisciplinary inference.</v>
      </c>
      <c r="N14" s="5" t="str">
        <f>'Evidence Extraction'!O4</f>
        <v>The authors interpret the genetic links as evidence for movement of Yamnaya descendants into Inner Asia.</v>
      </c>
      <c r="O14" s="5" t="str">
        <f>'Evidence Extraction'!S4&amp;" | "&amp;'Evidence Extraction'!T4</f>
        <v>East Asian ancient-DNA sampling is uneven, with several small or singleton archaeological groups; most evidence is east of the core Yamnaya zone. | Some qpAdm models are equally plausible and closely related sources can be difficult to distinguish; cultural association does not guarantee matching ancestry.</v>
      </c>
      <c r="P14" s="5" t="str">
        <f>'Evidence Extraction'!U4</f>
        <v>Supplies the principal eastward case study and an explicit, qualified Tocharian interpretation.</v>
      </c>
      <c r="Q14" s="5" t="str">
        <f>'Evidence Extraction'!B4</f>
        <v>4IUR2RSU</v>
      </c>
      <c r="R14" s="5" t="str">
        <f>"Evidence Extraction row 4; "&amp;'Evidence Extraction'!W4</f>
        <v>Evidence Extraction row 4; pp. 1, 4–6</v>
      </c>
    </row>
    <row r="15" spans="1:18" ht="100" customHeight="1">
      <c r="A15" s="4" t="str">
        <f>'Evidence Extraction'!A9</f>
        <v>Dzhaubermezov et al. (2026)</v>
      </c>
      <c r="B15" s="4" t="s">
        <v>767</v>
      </c>
      <c r="C15" s="4" t="s">
        <v>768</v>
      </c>
      <c r="D15" s="5" t="str">
        <f>'Evidence Extraction'!D9</f>
        <v>North and South Caucasus</v>
      </c>
      <c r="E15" s="5" t="str">
        <f>'Evidence Extraction'!F9&amp;" | "&amp;'Evidence Extraction'!G9</f>
        <v>~50,000 BCE–AD 1914; Bronze Age evidence is the relevant subset | 669 ancient individuals compiled; 565 ancient Caucasus individuals retained for PCA after quality control; modern comparators also used</v>
      </c>
      <c r="F15" s="5" t="str">
        <f>'Evidence Extraction'!H9</f>
        <v>Systematic synthesis of published datasets; quality-controlled pooled reanalysis; PCA; D-statistics; relatedness screening</v>
      </c>
      <c r="G15" s="5" t="str">
        <f>'Evidence Extraction'!I9</f>
        <v>The pooled data show early north–south differentiation, Bronze Age Steppe-related gene flow associated with Yamnaya and later admixture alongside substantial regional continuity.</v>
      </c>
      <c r="H15" s="5" t="s">
        <v>769</v>
      </c>
      <c r="I15" s="5" t="str">
        <f>'Evidence Extraction'!L9</f>
        <v>Corridor-like, bidirectional interaction across and around the Caucasus</v>
      </c>
      <c r="J15" s="5" t="str">
        <f>'Evidence Extraction'!E9</f>
        <v>Caucasus hunter-gatherers, Maykop, Yamnaya, Catacomb, Kura-Araxes and later Caucasus populations</v>
      </c>
      <c r="K15" s="5" t="str">
        <f>'Evidence Extraction'!M9</f>
        <v>Long-term prehistory; Yamnaya-linked signal concentrated in the Bronze Age</v>
      </c>
      <c r="L15" s="5" t="str">
        <f>'Evidence Extraction'!P9</f>
        <v>BACKGROUND</v>
      </c>
      <c r="M15" s="5" t="str">
        <f>'Evidence Extraction'!Q9</f>
        <v>Proto-Indo-Anatolian and language–genetics links are largely attributed to recent cited studies rather than independently tested.</v>
      </c>
      <c r="N15" s="5" t="str">
        <f>'Evidence Extraction'!O9</f>
        <v>The authors synthesize the Caucasus as both a barrier and migration corridor involved in the ancestry of Steppe pastoralist societies.</v>
      </c>
      <c r="O15" s="5" t="str">
        <f>'Evidence Extraction'!S9&amp;" | "&amp;'Evidence Extraction'!T9</f>
        <v>Extremely broad chronology; early North Caucasus and late historical sampling gaps; Bronze Age findings must be isolated from later continuity. | Secondary data vary in coverage, laboratory pipelines and sampling; pooled PCA is descriptive; source-study overlap risks double counting.</v>
      </c>
      <c r="P15" s="5" t="str">
        <f>'Evidence Extraction'!U9</f>
        <v>Provides Caucasus corridor context and a secondary cross-study check on Steppe-related gene flow.</v>
      </c>
      <c r="Q15" s="5" t="str">
        <f>'Evidence Extraction'!B9</f>
        <v>8LBVFX2C</v>
      </c>
      <c r="R15" s="5" t="str">
        <f>"Evidence Extraction row 9; "&amp;'Evidence Extraction'!W9</f>
        <v>Evidence Extraction row 9; pp. 1–4 and Bronze Age/Conclusion sections</v>
      </c>
    </row>
    <row r="16" spans="1:18" ht="100" customHeight="1">
      <c r="A16" s="4" t="str">
        <f>'Evidence Extraction'!A2</f>
        <v>Wong et al. (2017)</v>
      </c>
      <c r="B16" s="4" t="s">
        <v>770</v>
      </c>
      <c r="C16" s="4" t="s">
        <v>768</v>
      </c>
      <c r="D16" s="5" t="str">
        <f>'Evidence Extraction'!D2</f>
        <v>Western Siberia; northeastern Europe; Urals</v>
      </c>
      <c r="E16" s="5" t="str">
        <f>'Evidence Extraction'!F2&amp;" | "&amp;'Evidence Extraction'!G2</f>
        <v>Modern genomes; ancient comparators include Yamnaya (~4.7–5.3 kya) | 28 high-coverage modern genomes from 14 groups, 32 additional modern genomes and 46 published ancient genomes</v>
      </c>
      <c r="F16" s="5" t="str">
        <f>'Evidence Extraction'!H2</f>
        <v>High-coverage whole-genome sequencing; PCA; TreeMix; D-statistics; admixture modelling</v>
      </c>
      <c r="G16" s="5" t="str">
        <f>'Evidence Extraction'!I2</f>
        <v>Western Siberian groups, especially Mansi, share excess alleles with ancient eastern Europeans including Yamnaya; western Siberian-related ancestry is also detectable in northeastern Europeans.</v>
      </c>
      <c r="H16" s="5" t="s">
        <v>771</v>
      </c>
      <c r="I16" s="5" t="str">
        <f>'Evidence Extraction'!L2</f>
        <v>Westward gene flow and later contact across northern Eurasia</v>
      </c>
      <c r="J16" s="5" t="str">
        <f>'Evidence Extraction'!E2</f>
        <v>Mansi, Khanty, Nenets, Selkup and other northern Eurasian groups; published Yamnaya and other ancient comparators</v>
      </c>
      <c r="K16" s="5" t="str">
        <f>'Evidence Extraction'!M2</f>
        <v>Authors infer western Siberian input into northeastern Europe before the Yamnaya horizon, probably before ~6.6 kya.</v>
      </c>
      <c r="L16" s="5" t="str">
        <f>'Evidence Extraction'!P2</f>
        <v>BACKGROUND</v>
      </c>
      <c r="M16" s="5" t="str">
        <f>'Evidence Extraction'!Q2</f>
        <v>Late Proto-Indo-European is contextual only; the paper makes no independent linguistic inference.</v>
      </c>
      <c r="N16" s="5" t="str">
        <f>'Evidence Extraction'!O2</f>
        <v>The authors reconstruct deep Siberia–Europe interaction and caution that Mansi are not descendants of Yamnaya.</v>
      </c>
      <c r="O16" s="5" t="str">
        <f>'Evidence Extraction'!S2&amp;" | "&amp;'Evidence Extraction'!T2</f>
        <v>Predominantly a northern Eurasian study using modern populations; target-period movement is indirect. | Ancient genomes are published comparators; direction and timing depend on population models and sparse ancient sampling.</v>
      </c>
      <c r="P16" s="5" t="str">
        <f>'Evidence Extraction'!U2</f>
        <v>Adds contextual evidence that northern Eurasian gene flow pre-dated and overlapped the Yamnaya horizon, qualifying a simple one-way expansion narrative.</v>
      </c>
      <c r="Q16" s="5" t="str">
        <f>'Evidence Extraction'!B2</f>
        <v>CEFW5MDT</v>
      </c>
      <c r="R16" s="5" t="str">
        <f>"Evidence Extraction row 2; "&amp;'Evidence Extraction'!W2</f>
        <v>Evidence Extraction row 2; pp. 1–2, 9–12</v>
      </c>
    </row>
  </sheetData>
  <conditionalFormatting sqref="C2:C16">
    <cfRule type="containsText" dxfId="27" priority="1" operator="containsText" text="CORE"/>
    <cfRule type="containsText" dxfId="26" priority="2" operator="containsText" text="QUALIFIER"/>
    <cfRule type="containsText" dxfId="25" priority="3" operator="containsText" text="CONTEXT"/>
    <cfRule type="containsText" dxfId="24" priority="4" operator="containsText" text="CONSEQUENCE"/>
  </conditionalFormatting>
  <conditionalFormatting sqref="L2:L16">
    <cfRule type="containsText" dxfId="23" priority="5" operator="containsText" text="EXPLICIT"/>
    <cfRule type="containsText" dxfId="22" priority="6" operator="containsText" text="INDIRECT"/>
    <cfRule type="containsText" dxfId="21" priority="7" operator="containsText" text="BACKGROUND"/>
  </conditionalFormatting>
  <dataValidations count="3">
    <dataValidation type="list" sqref="B2:B16" xr:uid="{00000000-0002-0000-0700-000000000000}">
      <formula1>_xlfn._LONGTEXT("Yamnaya formation and launch,Migration chronology,Pre-expansion contact,Westward expansion,Bidirectional expansion,Regional transformation,Local mobility and admixture,Sex-biased migration,Later western consequences,Culture versus migration,Eastward expan","sion,Caucasus corridor,Northern Eurasian context")</formula1>
    </dataValidation>
    <dataValidation type="list" sqref="C2:C16" xr:uid="{00000000-0002-0000-0700-000001000000}">
      <formula1>"CORE,CHRONOLOGICAL FRAMEWORK,CHRONOLOGICAL CONTEXT,REGIONAL QUALIFIER,LATER CONSEQUENCE,QUALIFYING / NEGATIVE CASE,SECONDARY CONTEXT"</formula1>
    </dataValidation>
    <dataValidation type="list" sqref="L2:L16" xr:uid="{00000000-0002-0000-0700-000002000000}">
      <formula1>"EXPLICIT,INDIRECT,BACKGROUND,NONE"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"/>
  <sheetViews>
    <sheetView showGridLines="0" workbookViewId="0"/>
  </sheetViews>
  <sheetFormatPr baseColWidth="10" defaultColWidth="8.83203125" defaultRowHeight="15"/>
  <cols>
    <col min="1" max="1" width="34" customWidth="1"/>
    <col min="2" max="2" width="66" customWidth="1"/>
    <col min="3" max="3" width="55" customWidth="1"/>
    <col min="4" max="4" width="62" customWidth="1"/>
    <col min="5" max="5" width="50" customWidth="1"/>
    <col min="6" max="6" width="45" customWidth="1"/>
    <col min="7" max="8" width="60" customWidth="1"/>
    <col min="9" max="9" width="24" customWidth="1"/>
    <col min="10" max="10" width="14" customWidth="1"/>
    <col min="11" max="11" width="38" customWidth="1"/>
    <col min="12" max="12" width="66" customWidth="1"/>
  </cols>
  <sheetData>
    <row r="1" spans="1:12" ht="42" customHeight="1">
      <c r="A1" s="24" t="s">
        <v>772</v>
      </c>
      <c r="B1" s="24" t="s">
        <v>773</v>
      </c>
      <c r="C1" s="24" t="s">
        <v>774</v>
      </c>
      <c r="D1" s="24" t="s">
        <v>775</v>
      </c>
      <c r="E1" s="24" t="s">
        <v>776</v>
      </c>
      <c r="F1" s="24" t="s">
        <v>266</v>
      </c>
      <c r="G1" s="24" t="s">
        <v>777</v>
      </c>
      <c r="H1" s="24" t="s">
        <v>778</v>
      </c>
      <c r="I1" s="27" t="s">
        <v>848</v>
      </c>
      <c r="J1" s="27" t="s">
        <v>849</v>
      </c>
      <c r="K1" s="27" t="s">
        <v>850</v>
      </c>
      <c r="L1" s="27" t="s">
        <v>851</v>
      </c>
    </row>
    <row r="2" spans="1:12" ht="100" customHeight="1">
      <c r="A2" s="25" t="s">
        <v>737</v>
      </c>
      <c r="B2" s="5" t="s">
        <v>779</v>
      </c>
      <c r="C2" s="5" t="s">
        <v>852</v>
      </c>
      <c r="D2" s="5" t="s">
        <v>780</v>
      </c>
      <c r="E2" s="5" t="s">
        <v>781</v>
      </c>
      <c r="F2" s="5" t="s">
        <v>782</v>
      </c>
      <c r="G2" s="26" t="s">
        <v>783</v>
      </c>
      <c r="H2" s="5" t="s">
        <v>784</v>
      </c>
      <c r="I2" s="28" t="s">
        <v>853</v>
      </c>
      <c r="J2" s="29">
        <f t="shared" ref="J2:J8" si="0">IF(C2="",0,LEN(C2)-LEN(SUBSTITUTE(C2,";",""))+1)</f>
        <v>4</v>
      </c>
      <c r="K2" s="30" t="s">
        <v>854</v>
      </c>
      <c r="L2" s="31" t="s">
        <v>855</v>
      </c>
    </row>
    <row r="3" spans="1:12" ht="100" customHeight="1">
      <c r="A3" s="25" t="s">
        <v>785</v>
      </c>
      <c r="B3" s="5" t="s">
        <v>786</v>
      </c>
      <c r="C3" s="5" t="s">
        <v>787</v>
      </c>
      <c r="D3" s="5" t="s">
        <v>788</v>
      </c>
      <c r="E3" s="5" t="s">
        <v>789</v>
      </c>
      <c r="F3" s="5" t="s">
        <v>790</v>
      </c>
      <c r="G3" s="26" t="s">
        <v>791</v>
      </c>
      <c r="H3" s="5" t="s">
        <v>792</v>
      </c>
      <c r="I3" s="28" t="s">
        <v>853</v>
      </c>
      <c r="J3" s="29">
        <f t="shared" si="0"/>
        <v>4</v>
      </c>
      <c r="K3" s="30" t="s">
        <v>856</v>
      </c>
      <c r="L3" s="31" t="s">
        <v>857</v>
      </c>
    </row>
    <row r="4" spans="1:12" ht="100" customHeight="1">
      <c r="A4" s="25" t="s">
        <v>793</v>
      </c>
      <c r="B4" s="5" t="s">
        <v>794</v>
      </c>
      <c r="C4" s="5" t="s">
        <v>795</v>
      </c>
      <c r="D4" s="5" t="s">
        <v>796</v>
      </c>
      <c r="E4" s="5" t="s">
        <v>797</v>
      </c>
      <c r="F4" s="5" t="s">
        <v>798</v>
      </c>
      <c r="G4" s="26" t="s">
        <v>799</v>
      </c>
      <c r="H4" s="5" t="s">
        <v>800</v>
      </c>
      <c r="I4" s="28" t="s">
        <v>853</v>
      </c>
      <c r="J4" s="29">
        <f t="shared" si="0"/>
        <v>3</v>
      </c>
      <c r="K4" s="30" t="s">
        <v>858</v>
      </c>
      <c r="L4" s="31" t="s">
        <v>859</v>
      </c>
    </row>
    <row r="5" spans="1:12" ht="100" customHeight="1">
      <c r="A5" s="25" t="s">
        <v>801</v>
      </c>
      <c r="B5" s="5" t="s">
        <v>802</v>
      </c>
      <c r="C5" s="5" t="s">
        <v>803</v>
      </c>
      <c r="D5" s="5" t="s">
        <v>804</v>
      </c>
      <c r="E5" s="5" t="s">
        <v>805</v>
      </c>
      <c r="F5" s="5" t="s">
        <v>806</v>
      </c>
      <c r="G5" s="26" t="s">
        <v>807</v>
      </c>
      <c r="H5" s="5" t="s">
        <v>808</v>
      </c>
      <c r="I5" s="28" t="s">
        <v>853</v>
      </c>
      <c r="J5" s="29">
        <f t="shared" si="0"/>
        <v>3</v>
      </c>
      <c r="K5" s="30" t="s">
        <v>860</v>
      </c>
      <c r="L5" s="31" t="s">
        <v>861</v>
      </c>
    </row>
    <row r="6" spans="1:12" ht="100" customHeight="1">
      <c r="A6" s="25" t="s">
        <v>809</v>
      </c>
      <c r="B6" s="5" t="s">
        <v>810</v>
      </c>
      <c r="C6" s="5" t="s">
        <v>811</v>
      </c>
      <c r="D6" s="5" t="s">
        <v>812</v>
      </c>
      <c r="E6" s="5" t="s">
        <v>813</v>
      </c>
      <c r="F6" s="5" t="s">
        <v>814</v>
      </c>
      <c r="G6" s="26" t="s">
        <v>815</v>
      </c>
      <c r="H6" s="5" t="s">
        <v>816</v>
      </c>
      <c r="I6" s="28" t="s">
        <v>853</v>
      </c>
      <c r="J6" s="29">
        <f t="shared" si="0"/>
        <v>3</v>
      </c>
      <c r="K6" s="30" t="s">
        <v>862</v>
      </c>
      <c r="L6" s="31" t="s">
        <v>863</v>
      </c>
    </row>
    <row r="7" spans="1:12" ht="100" customHeight="1">
      <c r="A7" s="25" t="s">
        <v>817</v>
      </c>
      <c r="B7" s="5" t="s">
        <v>818</v>
      </c>
      <c r="C7" s="5" t="s">
        <v>819</v>
      </c>
      <c r="D7" s="5" t="s">
        <v>820</v>
      </c>
      <c r="E7" s="5" t="s">
        <v>821</v>
      </c>
      <c r="F7" s="5" t="s">
        <v>822</v>
      </c>
      <c r="G7" s="26" t="s">
        <v>823</v>
      </c>
      <c r="H7" s="5" t="s">
        <v>824</v>
      </c>
      <c r="I7" s="28" t="s">
        <v>853</v>
      </c>
      <c r="J7" s="29">
        <f t="shared" si="0"/>
        <v>4</v>
      </c>
      <c r="K7" s="30" t="s">
        <v>864</v>
      </c>
      <c r="L7" s="31" t="s">
        <v>865</v>
      </c>
    </row>
    <row r="8" spans="1:12" ht="100" customHeight="1">
      <c r="A8" s="25" t="s">
        <v>825</v>
      </c>
      <c r="B8" s="5" t="s">
        <v>826</v>
      </c>
      <c r="C8" s="5" t="s">
        <v>827</v>
      </c>
      <c r="D8" s="5" t="s">
        <v>828</v>
      </c>
      <c r="E8" s="5" t="s">
        <v>829</v>
      </c>
      <c r="F8" s="5" t="s">
        <v>830</v>
      </c>
      <c r="G8" s="26" t="str">
        <f>"EXPLICIT: "&amp;COUNTIF('Synthesis Table'!$L$2:$L$16,"EXPLICIT")&amp;"; INDIRECT: "&amp;COUNTIF('Synthesis Table'!$L$2:$L$16,"INDIRECT")&amp;"; BACKGROUND: "&amp;COUNTIF('Synthesis Table'!$L$2:$L$16,"BACKGROUND")&amp;". All are interpretations, not language observed in DNA."</f>
        <v>EXPLICIT: 6; INDIRECT: 7; BACKGROUND: 2. All are interpretations, not language observed in DNA.</v>
      </c>
      <c r="H8" s="5" t="s">
        <v>831</v>
      </c>
      <c r="I8" s="28" t="s">
        <v>853</v>
      </c>
      <c r="J8" s="29">
        <f t="shared" si="0"/>
        <v>6</v>
      </c>
      <c r="K8" s="30" t="s">
        <v>866</v>
      </c>
      <c r="L8" s="31" t="s">
        <v>867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4"/>
  <sheetViews>
    <sheetView showGridLines="0" zoomScale="101" workbookViewId="0">
      <selection activeCell="D5" sqref="D5"/>
    </sheetView>
  </sheetViews>
  <sheetFormatPr baseColWidth="10" defaultColWidth="8.83203125" defaultRowHeight="15"/>
  <cols>
    <col min="1" max="1" width="16" customWidth="1"/>
    <col min="2" max="2" width="36" customWidth="1"/>
    <col min="3" max="3" width="66" customWidth="1"/>
    <col min="4" max="4" width="52" customWidth="1"/>
    <col min="5" max="6" width="42" customWidth="1"/>
    <col min="7" max="7" width="36" customWidth="1"/>
    <col min="8" max="9" width="58" customWidth="1"/>
    <col min="10" max="10" width="40" customWidth="1"/>
  </cols>
  <sheetData>
    <row r="1" spans="1:10" ht="34" customHeight="1">
      <c r="A1" s="69" t="s">
        <v>868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28" customHeight="1">
      <c r="A2" s="33" t="s">
        <v>836</v>
      </c>
      <c r="B2" s="34">
        <f>COUNTIF($A$5:$A$24,"AGREEMENT")</f>
        <v>6</v>
      </c>
      <c r="C2" s="33" t="s">
        <v>837</v>
      </c>
      <c r="D2" s="33">
        <f>COUNTIF($A$5:$A$24,"TENSION")</f>
        <v>7</v>
      </c>
      <c r="E2" s="33" t="s">
        <v>838</v>
      </c>
      <c r="F2" s="33">
        <f>COUNTIF($A$5:$A$24,"GAP")</f>
        <v>7</v>
      </c>
      <c r="G2" s="33" t="s">
        <v>869</v>
      </c>
      <c r="H2" s="33">
        <v>0</v>
      </c>
      <c r="I2" s="33" t="s">
        <v>258</v>
      </c>
    </row>
    <row r="4" spans="1:10" ht="42" customHeight="1">
      <c r="A4" s="35" t="s">
        <v>870</v>
      </c>
      <c r="B4" s="35" t="s">
        <v>871</v>
      </c>
      <c r="C4" s="35" t="s">
        <v>872</v>
      </c>
      <c r="D4" s="35" t="s">
        <v>873</v>
      </c>
      <c r="E4" s="35" t="s">
        <v>874</v>
      </c>
      <c r="F4" s="35" t="s">
        <v>266</v>
      </c>
      <c r="G4" s="35" t="s">
        <v>875</v>
      </c>
      <c r="H4" s="35" t="s">
        <v>876</v>
      </c>
      <c r="I4" s="35" t="s">
        <v>877</v>
      </c>
      <c r="J4" s="35" t="s">
        <v>736</v>
      </c>
    </row>
    <row r="5" spans="1:10" ht="92" customHeight="1">
      <c r="A5" s="36" t="s">
        <v>878</v>
      </c>
      <c r="B5" s="1" t="s">
        <v>879</v>
      </c>
      <c r="C5" s="1" t="s">
        <v>880</v>
      </c>
      <c r="D5" s="1" t="s">
        <v>852</v>
      </c>
      <c r="E5" s="1" t="s">
        <v>881</v>
      </c>
      <c r="F5" s="1" t="s">
        <v>882</v>
      </c>
      <c r="G5" s="39" t="s">
        <v>883</v>
      </c>
      <c r="H5" s="1" t="s">
        <v>884</v>
      </c>
      <c r="I5" s="40" t="s">
        <v>885</v>
      </c>
      <c r="J5" s="41" t="s">
        <v>886</v>
      </c>
    </row>
    <row r="6" spans="1:10" ht="92" customHeight="1">
      <c r="A6" s="36" t="s">
        <v>878</v>
      </c>
      <c r="B6" s="1" t="s">
        <v>887</v>
      </c>
      <c r="C6" s="1" t="s">
        <v>888</v>
      </c>
      <c r="D6" s="1" t="s">
        <v>787</v>
      </c>
      <c r="E6" s="1" t="s">
        <v>889</v>
      </c>
      <c r="F6" s="1" t="s">
        <v>890</v>
      </c>
      <c r="G6" s="39" t="s">
        <v>883</v>
      </c>
      <c r="H6" s="1" t="s">
        <v>891</v>
      </c>
      <c r="I6" s="40" t="s">
        <v>892</v>
      </c>
      <c r="J6" s="41" t="s">
        <v>893</v>
      </c>
    </row>
    <row r="7" spans="1:10" ht="92" customHeight="1">
      <c r="A7" s="36" t="s">
        <v>878</v>
      </c>
      <c r="B7" s="1" t="s">
        <v>894</v>
      </c>
      <c r="C7" s="1" t="s">
        <v>895</v>
      </c>
      <c r="D7" s="1" t="s">
        <v>803</v>
      </c>
      <c r="E7" s="1" t="s">
        <v>896</v>
      </c>
      <c r="F7" s="1" t="s">
        <v>897</v>
      </c>
      <c r="G7" s="39" t="s">
        <v>898</v>
      </c>
      <c r="H7" s="1" t="s">
        <v>899</v>
      </c>
      <c r="I7" s="40" t="s">
        <v>900</v>
      </c>
      <c r="J7" s="41" t="s">
        <v>901</v>
      </c>
    </row>
    <row r="8" spans="1:10" ht="92" customHeight="1">
      <c r="A8" s="36" t="s">
        <v>878</v>
      </c>
      <c r="B8" s="1" t="s">
        <v>902</v>
      </c>
      <c r="C8" s="1" t="s">
        <v>903</v>
      </c>
      <c r="D8" s="1" t="s">
        <v>904</v>
      </c>
      <c r="E8" s="1" t="s">
        <v>905</v>
      </c>
      <c r="F8" s="1" t="s">
        <v>906</v>
      </c>
      <c r="G8" s="39" t="s">
        <v>907</v>
      </c>
      <c r="H8" s="1" t="s">
        <v>908</v>
      </c>
      <c r="I8" s="40" t="s">
        <v>909</v>
      </c>
      <c r="J8" s="41" t="s">
        <v>910</v>
      </c>
    </row>
    <row r="9" spans="1:10" ht="92" customHeight="1">
      <c r="A9" s="36" t="s">
        <v>878</v>
      </c>
      <c r="B9" s="1" t="s">
        <v>911</v>
      </c>
      <c r="C9" s="1" t="s">
        <v>912</v>
      </c>
      <c r="D9" s="1" t="s">
        <v>811</v>
      </c>
      <c r="E9" s="1" t="s">
        <v>913</v>
      </c>
      <c r="F9" s="1" t="s">
        <v>814</v>
      </c>
      <c r="G9" s="39" t="s">
        <v>914</v>
      </c>
      <c r="H9" s="1" t="s">
        <v>915</v>
      </c>
      <c r="I9" s="40" t="s">
        <v>916</v>
      </c>
      <c r="J9" s="41" t="s">
        <v>917</v>
      </c>
    </row>
    <row r="10" spans="1:10" ht="92" customHeight="1">
      <c r="A10" s="36" t="s">
        <v>878</v>
      </c>
      <c r="B10" s="1" t="s">
        <v>918</v>
      </c>
      <c r="C10" s="1" t="s">
        <v>919</v>
      </c>
      <c r="D10" s="1" t="s">
        <v>827</v>
      </c>
      <c r="E10" s="1" t="s">
        <v>920</v>
      </c>
      <c r="F10" s="1" t="s">
        <v>921</v>
      </c>
      <c r="G10" s="39" t="s">
        <v>922</v>
      </c>
      <c r="H10" s="1" t="s">
        <v>923</v>
      </c>
      <c r="I10" s="40" t="s">
        <v>924</v>
      </c>
      <c r="J10" s="41" t="s">
        <v>925</v>
      </c>
    </row>
    <row r="11" spans="1:10" ht="92" customHeight="1">
      <c r="A11" s="37" t="s">
        <v>926</v>
      </c>
      <c r="B11" s="1" t="s">
        <v>927</v>
      </c>
      <c r="C11" s="1" t="s">
        <v>928</v>
      </c>
      <c r="D11" s="1" t="s">
        <v>852</v>
      </c>
      <c r="E11" s="1" t="s">
        <v>929</v>
      </c>
      <c r="F11" s="1" t="s">
        <v>930</v>
      </c>
      <c r="G11" s="39" t="s">
        <v>931</v>
      </c>
      <c r="H11" s="1" t="s">
        <v>932</v>
      </c>
      <c r="I11" s="40" t="s">
        <v>933</v>
      </c>
      <c r="J11" s="41" t="s">
        <v>934</v>
      </c>
    </row>
    <row r="12" spans="1:10" ht="92" customHeight="1">
      <c r="A12" s="37" t="s">
        <v>926</v>
      </c>
      <c r="B12" s="1" t="s">
        <v>935</v>
      </c>
      <c r="C12" s="1" t="s">
        <v>936</v>
      </c>
      <c r="D12" s="1" t="s">
        <v>937</v>
      </c>
      <c r="E12" s="1" t="s">
        <v>938</v>
      </c>
      <c r="F12" s="1" t="s">
        <v>939</v>
      </c>
      <c r="G12" s="39" t="s">
        <v>940</v>
      </c>
      <c r="H12" s="1" t="s">
        <v>941</v>
      </c>
      <c r="I12" s="40" t="s">
        <v>942</v>
      </c>
      <c r="J12" s="41" t="s">
        <v>943</v>
      </c>
    </row>
    <row r="13" spans="1:10" ht="92" customHeight="1">
      <c r="A13" s="37" t="s">
        <v>926</v>
      </c>
      <c r="B13" s="1" t="s">
        <v>944</v>
      </c>
      <c r="C13" s="1" t="s">
        <v>945</v>
      </c>
      <c r="D13" s="1" t="s">
        <v>946</v>
      </c>
      <c r="E13" s="1" t="s">
        <v>947</v>
      </c>
      <c r="F13" s="1" t="s">
        <v>948</v>
      </c>
      <c r="G13" s="39" t="s">
        <v>949</v>
      </c>
      <c r="H13" s="1" t="s">
        <v>950</v>
      </c>
      <c r="I13" s="40" t="s">
        <v>951</v>
      </c>
      <c r="J13" s="41" t="s">
        <v>952</v>
      </c>
    </row>
    <row r="14" spans="1:10" ht="92" customHeight="1">
      <c r="A14" s="37" t="s">
        <v>926</v>
      </c>
      <c r="B14" s="1" t="s">
        <v>953</v>
      </c>
      <c r="C14" s="1" t="s">
        <v>954</v>
      </c>
      <c r="D14" s="1" t="s">
        <v>795</v>
      </c>
      <c r="E14" s="1" t="s">
        <v>955</v>
      </c>
      <c r="F14" s="1" t="s">
        <v>956</v>
      </c>
      <c r="G14" s="39" t="s">
        <v>957</v>
      </c>
      <c r="H14" s="1" t="s">
        <v>958</v>
      </c>
      <c r="I14" s="40" t="s">
        <v>959</v>
      </c>
      <c r="J14" s="41" t="s">
        <v>960</v>
      </c>
    </row>
    <row r="15" spans="1:10" ht="92" customHeight="1">
      <c r="A15" s="37" t="s">
        <v>926</v>
      </c>
      <c r="B15" s="1" t="s">
        <v>961</v>
      </c>
      <c r="C15" s="1" t="s">
        <v>962</v>
      </c>
      <c r="D15" s="1" t="s">
        <v>803</v>
      </c>
      <c r="E15" s="1" t="s">
        <v>963</v>
      </c>
      <c r="F15" s="1" t="s">
        <v>964</v>
      </c>
      <c r="G15" s="39" t="s">
        <v>965</v>
      </c>
      <c r="H15" s="1" t="s">
        <v>966</v>
      </c>
      <c r="I15" s="40" t="s">
        <v>967</v>
      </c>
      <c r="J15" s="41" t="s">
        <v>901</v>
      </c>
    </row>
    <row r="16" spans="1:10" ht="92" customHeight="1">
      <c r="A16" s="37" t="s">
        <v>926</v>
      </c>
      <c r="B16" s="1" t="s">
        <v>968</v>
      </c>
      <c r="C16" s="1" t="s">
        <v>969</v>
      </c>
      <c r="D16" s="1" t="s">
        <v>970</v>
      </c>
      <c r="E16" s="1" t="s">
        <v>971</v>
      </c>
      <c r="F16" s="1" t="s">
        <v>972</v>
      </c>
      <c r="G16" s="39" t="s">
        <v>973</v>
      </c>
      <c r="H16" s="1" t="s">
        <v>974</v>
      </c>
      <c r="I16" s="40" t="s">
        <v>975</v>
      </c>
      <c r="J16" s="41" t="s">
        <v>976</v>
      </c>
    </row>
    <row r="17" spans="1:10" ht="92" customHeight="1">
      <c r="A17" s="37" t="s">
        <v>926</v>
      </c>
      <c r="B17" s="1" t="s">
        <v>977</v>
      </c>
      <c r="C17" s="1" t="s">
        <v>978</v>
      </c>
      <c r="D17" s="1" t="s">
        <v>979</v>
      </c>
      <c r="E17" s="1" t="s">
        <v>920</v>
      </c>
      <c r="F17" s="1" t="s">
        <v>980</v>
      </c>
      <c r="G17" s="39" t="s">
        <v>981</v>
      </c>
      <c r="H17" s="1" t="s">
        <v>982</v>
      </c>
      <c r="I17" s="40" t="s">
        <v>983</v>
      </c>
      <c r="J17" s="41" t="s">
        <v>984</v>
      </c>
    </row>
    <row r="18" spans="1:10" ht="92" customHeight="1">
      <c r="A18" s="38" t="s">
        <v>985</v>
      </c>
      <c r="B18" s="1" t="s">
        <v>986</v>
      </c>
      <c r="C18" s="1" t="s">
        <v>987</v>
      </c>
      <c r="D18" s="1" t="s">
        <v>988</v>
      </c>
      <c r="E18" s="1" t="s">
        <v>989</v>
      </c>
      <c r="F18" s="1" t="s">
        <v>990</v>
      </c>
      <c r="G18" s="39" t="s">
        <v>991</v>
      </c>
      <c r="H18" s="1" t="s">
        <v>992</v>
      </c>
      <c r="I18" s="40" t="s">
        <v>993</v>
      </c>
      <c r="J18" s="41" t="s">
        <v>994</v>
      </c>
    </row>
    <row r="19" spans="1:10" ht="92" customHeight="1">
      <c r="A19" s="38" t="s">
        <v>985</v>
      </c>
      <c r="B19" s="1" t="s">
        <v>995</v>
      </c>
      <c r="C19" s="1" t="s">
        <v>996</v>
      </c>
      <c r="D19" s="1" t="s">
        <v>803</v>
      </c>
      <c r="E19" s="1" t="s">
        <v>997</v>
      </c>
      <c r="F19" s="1" t="s">
        <v>998</v>
      </c>
      <c r="G19" s="39" t="s">
        <v>999</v>
      </c>
      <c r="H19" s="1" t="s">
        <v>1000</v>
      </c>
      <c r="I19" s="40" t="s">
        <v>1001</v>
      </c>
      <c r="J19" s="41" t="s">
        <v>1002</v>
      </c>
    </row>
    <row r="20" spans="1:10" ht="92" customHeight="1">
      <c r="A20" s="38" t="s">
        <v>985</v>
      </c>
      <c r="B20" s="1" t="s">
        <v>1003</v>
      </c>
      <c r="C20" s="1" t="s">
        <v>1004</v>
      </c>
      <c r="D20" s="1" t="s">
        <v>1005</v>
      </c>
      <c r="E20" s="1" t="s">
        <v>920</v>
      </c>
      <c r="F20" s="1" t="s">
        <v>1006</v>
      </c>
      <c r="G20" s="39" t="s">
        <v>1007</v>
      </c>
      <c r="H20" s="1" t="s">
        <v>1008</v>
      </c>
      <c r="I20" s="40" t="s">
        <v>1009</v>
      </c>
      <c r="J20" s="41" t="s">
        <v>1010</v>
      </c>
    </row>
    <row r="21" spans="1:10" ht="92" customHeight="1">
      <c r="A21" s="38" t="s">
        <v>985</v>
      </c>
      <c r="B21" s="1" t="s">
        <v>1011</v>
      </c>
      <c r="C21" s="1" t="s">
        <v>1012</v>
      </c>
      <c r="D21" s="1" t="s">
        <v>795</v>
      </c>
      <c r="E21" s="1" t="s">
        <v>1013</v>
      </c>
      <c r="F21" s="1" t="s">
        <v>1014</v>
      </c>
      <c r="G21" s="39" t="s">
        <v>1015</v>
      </c>
      <c r="H21" s="1" t="s">
        <v>1016</v>
      </c>
      <c r="I21" s="40" t="s">
        <v>1017</v>
      </c>
      <c r="J21" s="41" t="s">
        <v>1018</v>
      </c>
    </row>
    <row r="22" spans="1:10" ht="92" customHeight="1">
      <c r="A22" s="38" t="s">
        <v>985</v>
      </c>
      <c r="B22" s="1" t="s">
        <v>1019</v>
      </c>
      <c r="C22" s="1" t="s">
        <v>1020</v>
      </c>
      <c r="D22" s="1" t="s">
        <v>811</v>
      </c>
      <c r="E22" s="1" t="s">
        <v>1021</v>
      </c>
      <c r="F22" s="1" t="s">
        <v>1022</v>
      </c>
      <c r="G22" s="39" t="s">
        <v>1023</v>
      </c>
      <c r="H22" s="1" t="s">
        <v>1024</v>
      </c>
      <c r="I22" s="40" t="s">
        <v>1025</v>
      </c>
      <c r="J22" s="41" t="s">
        <v>1026</v>
      </c>
    </row>
    <row r="23" spans="1:10" ht="92" customHeight="1">
      <c r="A23" s="38" t="s">
        <v>985</v>
      </c>
      <c r="B23" s="1" t="s">
        <v>1027</v>
      </c>
      <c r="C23" s="1" t="s">
        <v>1028</v>
      </c>
      <c r="D23" s="1" t="s">
        <v>1029</v>
      </c>
      <c r="E23" s="1" t="s">
        <v>1030</v>
      </c>
      <c r="F23" s="1" t="s">
        <v>1031</v>
      </c>
      <c r="G23" s="39" t="s">
        <v>1032</v>
      </c>
      <c r="H23" s="1" t="s">
        <v>1033</v>
      </c>
      <c r="I23" s="40" t="s">
        <v>1034</v>
      </c>
      <c r="J23" s="41" t="s">
        <v>1035</v>
      </c>
    </row>
    <row r="24" spans="1:10" ht="92" customHeight="1">
      <c r="A24" s="38" t="s">
        <v>985</v>
      </c>
      <c r="B24" s="1" t="s">
        <v>1036</v>
      </c>
      <c r="C24" s="1" t="s">
        <v>1037</v>
      </c>
      <c r="D24" s="1" t="s">
        <v>1038</v>
      </c>
      <c r="E24" s="1" t="s">
        <v>920</v>
      </c>
      <c r="F24" s="1" t="s">
        <v>1039</v>
      </c>
      <c r="G24" s="39" t="s">
        <v>1040</v>
      </c>
      <c r="H24" s="1" t="s">
        <v>1041</v>
      </c>
      <c r="I24" s="40" t="s">
        <v>1042</v>
      </c>
      <c r="J24" s="41" t="s">
        <v>925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3"/>
  <sheetViews>
    <sheetView showGridLines="0" workbookViewId="0"/>
  </sheetViews>
  <sheetFormatPr baseColWidth="10" defaultColWidth="8.83203125" defaultRowHeight="15"/>
  <cols>
    <col min="1" max="1" width="14" customWidth="1"/>
    <col min="2" max="2" width="10" customWidth="1"/>
    <col min="3" max="3" width="35" customWidth="1"/>
    <col min="4" max="4" width="38" customWidth="1"/>
    <col min="5" max="5" width="36" customWidth="1"/>
    <col min="6" max="6" width="66" customWidth="1"/>
    <col min="7" max="8" width="54" customWidth="1"/>
    <col min="9" max="9" width="42" customWidth="1"/>
    <col min="10" max="10" width="45" customWidth="1"/>
    <col min="11" max="11" width="48" customWidth="1"/>
    <col min="12" max="12" width="54" customWidth="1"/>
    <col min="13" max="13" width="58" customWidth="1"/>
    <col min="14" max="14" width="19" customWidth="1"/>
    <col min="15" max="15" width="42" customWidth="1"/>
  </cols>
  <sheetData>
    <row r="1" spans="1:15" ht="34" customHeight="1">
      <c r="A1" s="70" t="s">
        <v>1043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5" ht="28" customHeight="1">
      <c r="A2" s="45" t="s">
        <v>1044</v>
      </c>
      <c r="B2" s="46">
        <f>MAX($B$5:$B$23)</f>
        <v>6</v>
      </c>
      <c r="C2" s="45" t="s">
        <v>840</v>
      </c>
      <c r="D2" s="46">
        <f>COUNTA($A$5:$A$23)</f>
        <v>19</v>
      </c>
      <c r="E2" s="45" t="s">
        <v>1045</v>
      </c>
      <c r="F2" s="46">
        <v>0</v>
      </c>
      <c r="G2" s="45" t="s">
        <v>1046</v>
      </c>
      <c r="H2" s="46" t="s">
        <v>1047</v>
      </c>
      <c r="I2" s="45" t="s">
        <v>869</v>
      </c>
      <c r="J2" s="46">
        <v>0</v>
      </c>
    </row>
    <row r="3" spans="1:15" ht="52" customHeight="1">
      <c r="A3" s="47" t="s">
        <v>1048</v>
      </c>
      <c r="B3" s="71" t="s">
        <v>1049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1:15" ht="42" customHeight="1">
      <c r="A4" s="48" t="s">
        <v>1050</v>
      </c>
      <c r="B4" s="48" t="s">
        <v>1051</v>
      </c>
      <c r="C4" s="48" t="s">
        <v>1052</v>
      </c>
      <c r="D4" s="48" t="s">
        <v>1053</v>
      </c>
      <c r="E4" s="48" t="s">
        <v>1054</v>
      </c>
      <c r="F4" s="48" t="s">
        <v>1055</v>
      </c>
      <c r="G4" s="48" t="s">
        <v>1056</v>
      </c>
      <c r="H4" s="48" t="s">
        <v>774</v>
      </c>
      <c r="I4" s="48" t="s">
        <v>874</v>
      </c>
      <c r="J4" s="48" t="s">
        <v>266</v>
      </c>
      <c r="K4" s="48" t="s">
        <v>1057</v>
      </c>
      <c r="L4" s="48" t="s">
        <v>1058</v>
      </c>
      <c r="M4" s="48" t="s">
        <v>1059</v>
      </c>
      <c r="N4" s="48" t="s">
        <v>1060</v>
      </c>
      <c r="O4" s="48" t="s">
        <v>736</v>
      </c>
    </row>
    <row r="5" spans="1:15" ht="96" customHeight="1">
      <c r="A5" s="56">
        <v>1</v>
      </c>
      <c r="B5" s="56">
        <v>1</v>
      </c>
      <c r="C5" s="49" t="s">
        <v>1061</v>
      </c>
      <c r="D5" s="49" t="s">
        <v>1062</v>
      </c>
      <c r="E5" s="49" t="s">
        <v>1063</v>
      </c>
      <c r="F5" s="49" t="s">
        <v>1064</v>
      </c>
      <c r="G5" s="49" t="s">
        <v>1065</v>
      </c>
      <c r="H5" s="49" t="s">
        <v>1066</v>
      </c>
      <c r="I5" s="49" t="s">
        <v>920</v>
      </c>
      <c r="J5" s="49" t="s">
        <v>1067</v>
      </c>
      <c r="K5" s="49" t="s">
        <v>1068</v>
      </c>
      <c r="L5" s="49" t="s">
        <v>1069</v>
      </c>
      <c r="M5" s="49" t="s">
        <v>1070</v>
      </c>
      <c r="N5" s="55" t="s">
        <v>1071</v>
      </c>
      <c r="O5" s="49" t="s">
        <v>1072</v>
      </c>
    </row>
    <row r="6" spans="1:15" ht="96" customHeight="1">
      <c r="A6" s="56">
        <v>2</v>
      </c>
      <c r="B6" s="56">
        <v>1</v>
      </c>
      <c r="C6" s="49" t="s">
        <v>1061</v>
      </c>
      <c r="D6" s="49" t="s">
        <v>1073</v>
      </c>
      <c r="E6" s="49" t="s">
        <v>1074</v>
      </c>
      <c r="F6" s="49" t="s">
        <v>1075</v>
      </c>
      <c r="G6" s="49" t="s">
        <v>1076</v>
      </c>
      <c r="H6" s="49" t="s">
        <v>1077</v>
      </c>
      <c r="I6" s="49" t="s">
        <v>920</v>
      </c>
      <c r="J6" s="49" t="s">
        <v>1078</v>
      </c>
      <c r="K6" s="49" t="s">
        <v>1079</v>
      </c>
      <c r="L6" s="49" t="s">
        <v>1080</v>
      </c>
      <c r="M6" s="49" t="s">
        <v>1081</v>
      </c>
      <c r="N6" s="55" t="s">
        <v>1071</v>
      </c>
      <c r="O6" s="49" t="s">
        <v>1082</v>
      </c>
    </row>
    <row r="7" spans="1:15" ht="96" customHeight="1">
      <c r="A7" s="57">
        <v>3</v>
      </c>
      <c r="B7" s="57">
        <v>2</v>
      </c>
      <c r="C7" s="50" t="s">
        <v>1083</v>
      </c>
      <c r="D7" s="50" t="s">
        <v>1084</v>
      </c>
      <c r="E7" s="50" t="s">
        <v>1085</v>
      </c>
      <c r="F7" s="50" t="s">
        <v>1086</v>
      </c>
      <c r="G7" s="50" t="s">
        <v>1087</v>
      </c>
      <c r="H7" s="50" t="s">
        <v>852</v>
      </c>
      <c r="I7" s="50" t="s">
        <v>881</v>
      </c>
      <c r="J7" s="50" t="s">
        <v>1088</v>
      </c>
      <c r="K7" s="50" t="s">
        <v>1089</v>
      </c>
      <c r="L7" s="50" t="s">
        <v>1090</v>
      </c>
      <c r="M7" s="50" t="s">
        <v>1091</v>
      </c>
      <c r="N7" s="55" t="s">
        <v>1071</v>
      </c>
      <c r="O7" s="50" t="s">
        <v>1092</v>
      </c>
    </row>
    <row r="8" spans="1:15" ht="96" customHeight="1">
      <c r="A8" s="57">
        <v>4</v>
      </c>
      <c r="B8" s="57">
        <v>2</v>
      </c>
      <c r="C8" s="50" t="s">
        <v>1083</v>
      </c>
      <c r="D8" s="50" t="s">
        <v>1093</v>
      </c>
      <c r="E8" s="50" t="s">
        <v>1094</v>
      </c>
      <c r="F8" s="50" t="s">
        <v>1095</v>
      </c>
      <c r="G8" s="50" t="s">
        <v>1096</v>
      </c>
      <c r="H8" s="50" t="s">
        <v>787</v>
      </c>
      <c r="I8" s="50" t="s">
        <v>938</v>
      </c>
      <c r="J8" s="50" t="s">
        <v>1097</v>
      </c>
      <c r="K8" s="50" t="s">
        <v>1098</v>
      </c>
      <c r="L8" s="50" t="s">
        <v>1099</v>
      </c>
      <c r="M8" s="50" t="s">
        <v>1100</v>
      </c>
      <c r="N8" s="55" t="s">
        <v>1071</v>
      </c>
      <c r="O8" s="50" t="s">
        <v>1101</v>
      </c>
    </row>
    <row r="9" spans="1:15" ht="96" customHeight="1">
      <c r="A9" s="57">
        <v>5</v>
      </c>
      <c r="B9" s="57">
        <v>2</v>
      </c>
      <c r="C9" s="50" t="s">
        <v>1083</v>
      </c>
      <c r="D9" s="50" t="s">
        <v>1102</v>
      </c>
      <c r="E9" s="50" t="s">
        <v>1103</v>
      </c>
      <c r="F9" s="50" t="s">
        <v>1104</v>
      </c>
      <c r="G9" s="50" t="s">
        <v>1105</v>
      </c>
      <c r="H9" s="50" t="s">
        <v>803</v>
      </c>
      <c r="I9" s="50" t="s">
        <v>896</v>
      </c>
      <c r="J9" s="50" t="s">
        <v>1106</v>
      </c>
      <c r="K9" s="50" t="s">
        <v>1107</v>
      </c>
      <c r="L9" s="50" t="s">
        <v>1108</v>
      </c>
      <c r="M9" s="50" t="s">
        <v>1109</v>
      </c>
      <c r="N9" s="55" t="s">
        <v>1071</v>
      </c>
      <c r="O9" s="50" t="s">
        <v>1110</v>
      </c>
    </row>
    <row r="10" spans="1:15" ht="96" customHeight="1">
      <c r="A10" s="58">
        <v>6</v>
      </c>
      <c r="B10" s="58">
        <v>3</v>
      </c>
      <c r="C10" s="51" t="s">
        <v>1111</v>
      </c>
      <c r="D10" s="51" t="s">
        <v>1112</v>
      </c>
      <c r="E10" s="51" t="s">
        <v>1113</v>
      </c>
      <c r="F10" s="51" t="s">
        <v>1114</v>
      </c>
      <c r="G10" s="51" t="s">
        <v>1115</v>
      </c>
      <c r="H10" s="51" t="s">
        <v>1116</v>
      </c>
      <c r="I10" s="51" t="s">
        <v>971</v>
      </c>
      <c r="J10" s="51" t="s">
        <v>1117</v>
      </c>
      <c r="K10" s="51" t="s">
        <v>1118</v>
      </c>
      <c r="L10" s="51" t="s">
        <v>1119</v>
      </c>
      <c r="M10" s="51" t="s">
        <v>1120</v>
      </c>
      <c r="N10" s="55" t="s">
        <v>1071</v>
      </c>
      <c r="O10" s="51" t="s">
        <v>1121</v>
      </c>
    </row>
    <row r="11" spans="1:15" ht="96" customHeight="1">
      <c r="A11" s="58">
        <v>7</v>
      </c>
      <c r="B11" s="58">
        <v>3</v>
      </c>
      <c r="C11" s="51" t="s">
        <v>1111</v>
      </c>
      <c r="D11" s="51" t="s">
        <v>1122</v>
      </c>
      <c r="E11" s="51" t="s">
        <v>1123</v>
      </c>
      <c r="F11" s="51" t="s">
        <v>1124</v>
      </c>
      <c r="G11" s="51" t="s">
        <v>1125</v>
      </c>
      <c r="H11" s="51" t="s">
        <v>937</v>
      </c>
      <c r="I11" s="51" t="s">
        <v>938</v>
      </c>
      <c r="J11" s="51" t="s">
        <v>1126</v>
      </c>
      <c r="K11" s="51" t="s">
        <v>1127</v>
      </c>
      <c r="L11" s="51" t="s">
        <v>1128</v>
      </c>
      <c r="M11" s="51" t="s">
        <v>1129</v>
      </c>
      <c r="N11" s="55" t="s">
        <v>1071</v>
      </c>
      <c r="O11" s="51" t="s">
        <v>1130</v>
      </c>
    </row>
    <row r="12" spans="1:15" ht="96" customHeight="1">
      <c r="A12" s="58">
        <v>8</v>
      </c>
      <c r="B12" s="58">
        <v>3</v>
      </c>
      <c r="C12" s="51" t="s">
        <v>1111</v>
      </c>
      <c r="D12" s="51" t="s">
        <v>1131</v>
      </c>
      <c r="E12" s="51" t="s">
        <v>1132</v>
      </c>
      <c r="F12" s="51" t="s">
        <v>1133</v>
      </c>
      <c r="G12" s="51" t="s">
        <v>1134</v>
      </c>
      <c r="H12" s="51" t="s">
        <v>1135</v>
      </c>
      <c r="I12" s="51" t="s">
        <v>947</v>
      </c>
      <c r="J12" s="51" t="s">
        <v>906</v>
      </c>
      <c r="K12" s="51" t="s">
        <v>1136</v>
      </c>
      <c r="L12" s="51" t="s">
        <v>1137</v>
      </c>
      <c r="M12" s="51" t="s">
        <v>1138</v>
      </c>
      <c r="N12" s="55" t="s">
        <v>1071</v>
      </c>
      <c r="O12" s="51" t="s">
        <v>1139</v>
      </c>
    </row>
    <row r="13" spans="1:15" ht="96" customHeight="1">
      <c r="A13" s="58">
        <v>9</v>
      </c>
      <c r="B13" s="58">
        <v>3</v>
      </c>
      <c r="C13" s="51" t="s">
        <v>1111</v>
      </c>
      <c r="D13" s="51" t="s">
        <v>1140</v>
      </c>
      <c r="E13" s="51" t="s">
        <v>1141</v>
      </c>
      <c r="F13" s="51" t="s">
        <v>1142</v>
      </c>
      <c r="G13" s="51" t="s">
        <v>1143</v>
      </c>
      <c r="H13" s="51" t="s">
        <v>795</v>
      </c>
      <c r="I13" s="51" t="s">
        <v>955</v>
      </c>
      <c r="J13" s="51" t="s">
        <v>956</v>
      </c>
      <c r="K13" s="51" t="s">
        <v>1144</v>
      </c>
      <c r="L13" s="51" t="s">
        <v>1145</v>
      </c>
      <c r="M13" s="51" t="s">
        <v>1146</v>
      </c>
      <c r="N13" s="55" t="s">
        <v>1071</v>
      </c>
      <c r="O13" s="51" t="s">
        <v>1147</v>
      </c>
    </row>
    <row r="14" spans="1:15" ht="96" customHeight="1">
      <c r="A14" s="58">
        <v>10</v>
      </c>
      <c r="B14" s="58">
        <v>3</v>
      </c>
      <c r="C14" s="51" t="s">
        <v>1111</v>
      </c>
      <c r="D14" s="51" t="s">
        <v>1148</v>
      </c>
      <c r="E14" s="51" t="s">
        <v>1149</v>
      </c>
      <c r="F14" s="51" t="s">
        <v>1150</v>
      </c>
      <c r="G14" s="51" t="s">
        <v>1151</v>
      </c>
      <c r="H14" s="51" t="s">
        <v>811</v>
      </c>
      <c r="I14" s="51" t="s">
        <v>913</v>
      </c>
      <c r="J14" s="51" t="s">
        <v>814</v>
      </c>
      <c r="K14" s="51" t="s">
        <v>1152</v>
      </c>
      <c r="L14" s="51" t="s">
        <v>1153</v>
      </c>
      <c r="M14" s="51" t="s">
        <v>1154</v>
      </c>
      <c r="N14" s="55" t="s">
        <v>1071</v>
      </c>
      <c r="O14" s="51" t="s">
        <v>1155</v>
      </c>
    </row>
    <row r="15" spans="1:15" ht="96" customHeight="1">
      <c r="A15" s="59">
        <v>11</v>
      </c>
      <c r="B15" s="59">
        <v>4</v>
      </c>
      <c r="C15" s="52" t="s">
        <v>825</v>
      </c>
      <c r="D15" s="52" t="s">
        <v>1156</v>
      </c>
      <c r="E15" s="52" t="s">
        <v>1157</v>
      </c>
      <c r="F15" s="52" t="s">
        <v>1158</v>
      </c>
      <c r="G15" s="52" t="s">
        <v>1159</v>
      </c>
      <c r="H15" s="52" t="s">
        <v>1160</v>
      </c>
      <c r="I15" s="52" t="s">
        <v>1030</v>
      </c>
      <c r="J15" s="52" t="s">
        <v>1161</v>
      </c>
      <c r="K15" s="52" t="s">
        <v>1162</v>
      </c>
      <c r="L15" s="52" t="s">
        <v>1163</v>
      </c>
      <c r="M15" s="52" t="s">
        <v>1164</v>
      </c>
      <c r="N15" s="55" t="s">
        <v>1071</v>
      </c>
      <c r="O15" s="52" t="s">
        <v>1165</v>
      </c>
    </row>
    <row r="16" spans="1:15" ht="96" customHeight="1">
      <c r="A16" s="59">
        <v>12</v>
      </c>
      <c r="B16" s="59">
        <v>4</v>
      </c>
      <c r="C16" s="52" t="s">
        <v>825</v>
      </c>
      <c r="D16" s="52" t="s">
        <v>1166</v>
      </c>
      <c r="E16" s="52" t="s">
        <v>1167</v>
      </c>
      <c r="F16" s="52" t="s">
        <v>1168</v>
      </c>
      <c r="G16" s="52" t="s">
        <v>1169</v>
      </c>
      <c r="H16" s="52" t="s">
        <v>979</v>
      </c>
      <c r="I16" s="52" t="s">
        <v>920</v>
      </c>
      <c r="J16" s="52" t="s">
        <v>980</v>
      </c>
      <c r="K16" s="52" t="s">
        <v>1170</v>
      </c>
      <c r="L16" s="52" t="s">
        <v>1171</v>
      </c>
      <c r="M16" s="52" t="s">
        <v>1172</v>
      </c>
      <c r="N16" s="55" t="s">
        <v>1071</v>
      </c>
      <c r="O16" s="52" t="s">
        <v>1173</v>
      </c>
    </row>
    <row r="17" spans="1:15" ht="96" customHeight="1">
      <c r="A17" s="59">
        <v>13</v>
      </c>
      <c r="B17" s="59">
        <v>4</v>
      </c>
      <c r="C17" s="52" t="s">
        <v>825</v>
      </c>
      <c r="D17" s="52" t="s">
        <v>1174</v>
      </c>
      <c r="E17" s="52" t="s">
        <v>1175</v>
      </c>
      <c r="F17" s="52" t="s">
        <v>1176</v>
      </c>
      <c r="G17" s="52" t="s">
        <v>1177</v>
      </c>
      <c r="H17" s="52" t="s">
        <v>803</v>
      </c>
      <c r="I17" s="52" t="s">
        <v>1178</v>
      </c>
      <c r="J17" s="52" t="s">
        <v>1179</v>
      </c>
      <c r="K17" s="52" t="s">
        <v>1180</v>
      </c>
      <c r="L17" s="52" t="s">
        <v>1181</v>
      </c>
      <c r="M17" s="52" t="s">
        <v>1182</v>
      </c>
      <c r="N17" s="55" t="s">
        <v>1071</v>
      </c>
      <c r="O17" s="52" t="s">
        <v>1183</v>
      </c>
    </row>
    <row r="18" spans="1:15" ht="96" customHeight="1">
      <c r="A18" s="59">
        <v>14</v>
      </c>
      <c r="B18" s="59">
        <v>4</v>
      </c>
      <c r="C18" s="52" t="s">
        <v>825</v>
      </c>
      <c r="D18" s="52" t="s">
        <v>1184</v>
      </c>
      <c r="E18" s="52" t="s">
        <v>1185</v>
      </c>
      <c r="F18" s="52" t="s">
        <v>1186</v>
      </c>
      <c r="G18" s="52" t="s">
        <v>1187</v>
      </c>
      <c r="H18" s="52" t="s">
        <v>1188</v>
      </c>
      <c r="I18" s="52" t="s">
        <v>1189</v>
      </c>
      <c r="J18" s="52" t="s">
        <v>1190</v>
      </c>
      <c r="K18" s="52" t="s">
        <v>1191</v>
      </c>
      <c r="L18" s="52" t="s">
        <v>1192</v>
      </c>
      <c r="M18" s="52" t="s">
        <v>1193</v>
      </c>
      <c r="N18" s="55" t="s">
        <v>1071</v>
      </c>
      <c r="O18" s="52" t="s">
        <v>1194</v>
      </c>
    </row>
    <row r="19" spans="1:15" ht="96" customHeight="1">
      <c r="A19" s="60">
        <v>15</v>
      </c>
      <c r="B19" s="60">
        <v>5</v>
      </c>
      <c r="C19" s="53" t="s">
        <v>1195</v>
      </c>
      <c r="D19" s="53" t="s">
        <v>1196</v>
      </c>
      <c r="E19" s="53" t="s">
        <v>1197</v>
      </c>
      <c r="F19" s="53" t="s">
        <v>1198</v>
      </c>
      <c r="G19" s="53" t="s">
        <v>1199</v>
      </c>
      <c r="H19" s="53" t="s">
        <v>1200</v>
      </c>
      <c r="I19" s="53" t="s">
        <v>1201</v>
      </c>
      <c r="J19" s="53" t="s">
        <v>1202</v>
      </c>
      <c r="K19" s="53" t="s">
        <v>1203</v>
      </c>
      <c r="L19" s="53" t="s">
        <v>1204</v>
      </c>
      <c r="M19" s="53" t="s">
        <v>1205</v>
      </c>
      <c r="N19" s="55" t="s">
        <v>1071</v>
      </c>
      <c r="O19" s="53" t="s">
        <v>1206</v>
      </c>
    </row>
    <row r="20" spans="1:15" ht="96" customHeight="1">
      <c r="A20" s="60">
        <v>16</v>
      </c>
      <c r="B20" s="60">
        <v>5</v>
      </c>
      <c r="C20" s="53" t="s">
        <v>1195</v>
      </c>
      <c r="D20" s="53" t="s">
        <v>1207</v>
      </c>
      <c r="E20" s="53" t="s">
        <v>1208</v>
      </c>
      <c r="F20" s="53" t="s">
        <v>1209</v>
      </c>
      <c r="G20" s="53" t="s">
        <v>1210</v>
      </c>
      <c r="H20" s="53" t="s">
        <v>1005</v>
      </c>
      <c r="I20" s="53" t="s">
        <v>920</v>
      </c>
      <c r="J20" s="53" t="s">
        <v>1006</v>
      </c>
      <c r="K20" s="53" t="s">
        <v>1211</v>
      </c>
      <c r="L20" s="53" t="s">
        <v>1212</v>
      </c>
      <c r="M20" s="53" t="s">
        <v>1213</v>
      </c>
      <c r="N20" s="55" t="s">
        <v>1071</v>
      </c>
      <c r="O20" s="53" t="s">
        <v>1214</v>
      </c>
    </row>
    <row r="21" spans="1:15" ht="96" customHeight="1">
      <c r="A21" s="60">
        <v>17</v>
      </c>
      <c r="B21" s="60">
        <v>5</v>
      </c>
      <c r="C21" s="53" t="s">
        <v>1195</v>
      </c>
      <c r="D21" s="53" t="s">
        <v>1215</v>
      </c>
      <c r="E21" s="53" t="s">
        <v>1216</v>
      </c>
      <c r="F21" s="53" t="s">
        <v>1217</v>
      </c>
      <c r="G21" s="53" t="s">
        <v>1218</v>
      </c>
      <c r="H21" s="53" t="s">
        <v>1219</v>
      </c>
      <c r="I21" s="53" t="s">
        <v>920</v>
      </c>
      <c r="J21" s="53" t="s">
        <v>1006</v>
      </c>
      <c r="K21" s="53" t="s">
        <v>1220</v>
      </c>
      <c r="L21" s="53" t="s">
        <v>1221</v>
      </c>
      <c r="M21" s="53" t="s">
        <v>1222</v>
      </c>
      <c r="N21" s="55" t="s">
        <v>1071</v>
      </c>
      <c r="O21" s="53" t="s">
        <v>1223</v>
      </c>
    </row>
    <row r="22" spans="1:15" ht="96" customHeight="1">
      <c r="A22" s="61">
        <v>18</v>
      </c>
      <c r="B22" s="61">
        <v>6</v>
      </c>
      <c r="C22" s="54" t="s">
        <v>1224</v>
      </c>
      <c r="D22" s="54" t="s">
        <v>1225</v>
      </c>
      <c r="E22" s="54" t="s">
        <v>1226</v>
      </c>
      <c r="F22" s="54" t="s">
        <v>1227</v>
      </c>
      <c r="G22" s="54" t="s">
        <v>1228</v>
      </c>
      <c r="H22" s="54" t="s">
        <v>1229</v>
      </c>
      <c r="I22" s="54" t="s">
        <v>920</v>
      </c>
      <c r="J22" s="54" t="s">
        <v>1230</v>
      </c>
      <c r="K22" s="54" t="s">
        <v>1231</v>
      </c>
      <c r="L22" s="54" t="s">
        <v>1232</v>
      </c>
      <c r="M22" s="54" t="s">
        <v>1233</v>
      </c>
      <c r="N22" s="55" t="s">
        <v>1071</v>
      </c>
      <c r="O22" s="54" t="s">
        <v>1234</v>
      </c>
    </row>
    <row r="23" spans="1:15" ht="96" customHeight="1">
      <c r="A23" s="61">
        <v>19</v>
      </c>
      <c r="B23" s="61">
        <v>6</v>
      </c>
      <c r="C23" s="54" t="s">
        <v>1224</v>
      </c>
      <c r="D23" s="54" t="s">
        <v>1235</v>
      </c>
      <c r="E23" s="54" t="s">
        <v>1236</v>
      </c>
      <c r="F23" s="54" t="s">
        <v>1237</v>
      </c>
      <c r="G23" s="54" t="s">
        <v>1238</v>
      </c>
      <c r="H23" s="54" t="s">
        <v>1239</v>
      </c>
      <c r="I23" s="54" t="s">
        <v>920</v>
      </c>
      <c r="J23" s="54" t="s">
        <v>1006</v>
      </c>
      <c r="K23" s="54" t="s">
        <v>1240</v>
      </c>
      <c r="L23" s="54" t="s">
        <v>1241</v>
      </c>
      <c r="M23" s="54" t="s">
        <v>1242</v>
      </c>
      <c r="N23" s="55" t="s">
        <v>1071</v>
      </c>
      <c r="O23" s="54" t="s">
        <v>1243</v>
      </c>
    </row>
  </sheetData>
  <mergeCells count="2">
    <mergeCell ref="A1:O1"/>
    <mergeCell ref="B3:O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Inventory</vt:lpstr>
      <vt:lpstr>Flag Register</vt:lpstr>
      <vt:lpstr>Provenance</vt:lpstr>
      <vt:lpstr>Screening Decisions</vt:lpstr>
      <vt:lpstr>PRISMA Status</vt:lpstr>
      <vt:lpstr>Evidence Extraction</vt:lpstr>
      <vt:lpstr>Synthesis Table</vt:lpstr>
      <vt:lpstr>Synthesis Themes</vt:lpstr>
      <vt:lpstr>Agreements &amp; Gaps</vt:lpstr>
      <vt:lpstr>Argument Outline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Lochana Perera (25620301)</cp:lastModifiedBy>
  <dcterms:modified xsi:type="dcterms:W3CDTF">2026-09-03T02:35:09Z</dcterms:modified>
</cp:coreProperties>
</file>